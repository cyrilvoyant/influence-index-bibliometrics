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mines-paristech.local\Sophia\OIE\Staff\cvoyant\Bureau\TOP2%\PLOS\"/>
    </mc:Choice>
  </mc:AlternateContent>
  <xr:revisionPtr revIDLastSave="0" documentId="13_ncr:1_{2EDB31FE-7DB1-4F2D-BFED-51958E74854A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E2" i="1"/>
  <c r="F2" i="1"/>
  <c r="D3" i="1"/>
  <c r="D4" i="1"/>
  <c r="E4" i="1" s="1"/>
  <c r="D5" i="1"/>
  <c r="D6" i="1"/>
  <c r="D7" i="1"/>
  <c r="D8" i="1"/>
  <c r="D9" i="1"/>
  <c r="D10" i="1"/>
  <c r="D11" i="1"/>
  <c r="E11" i="1" s="1"/>
  <c r="D12" i="1"/>
  <c r="D13" i="1"/>
  <c r="E13" i="1" s="1"/>
  <c r="D14" i="1"/>
  <c r="E14" i="1" s="1"/>
  <c r="D15" i="1"/>
  <c r="D16" i="1"/>
  <c r="E16" i="1" s="1"/>
  <c r="D17" i="1"/>
  <c r="D18" i="1"/>
  <c r="D19" i="1"/>
  <c r="D20" i="1"/>
  <c r="D21" i="1"/>
  <c r="D22" i="1"/>
  <c r="D23" i="1"/>
  <c r="E23" i="1" s="1"/>
  <c r="D24" i="1"/>
  <c r="E24" i="1" s="1"/>
  <c r="D25" i="1"/>
  <c r="E25" i="1" s="1"/>
  <c r="D26" i="1"/>
  <c r="E26" i="1" s="1"/>
  <c r="D27" i="1"/>
  <c r="D28" i="1"/>
  <c r="E28" i="1" s="1"/>
  <c r="D29" i="1"/>
  <c r="D30" i="1"/>
  <c r="D31" i="1"/>
  <c r="D32" i="1"/>
  <c r="D33" i="1"/>
  <c r="D34" i="1"/>
  <c r="D35" i="1"/>
  <c r="E35" i="1" s="1"/>
  <c r="D36" i="1"/>
  <c r="E36" i="1" s="1"/>
  <c r="D37" i="1"/>
  <c r="D38" i="1"/>
  <c r="E38" i="1" s="1"/>
  <c r="D39" i="1"/>
  <c r="D40" i="1"/>
  <c r="E40" i="1" s="1"/>
  <c r="D41" i="1"/>
  <c r="D42" i="1"/>
  <c r="D43" i="1"/>
  <c r="D44" i="1"/>
  <c r="D45" i="1"/>
  <c r="D46" i="1"/>
  <c r="D47" i="1"/>
  <c r="E47" i="1" s="1"/>
  <c r="D48" i="1"/>
  <c r="E48" i="1" s="1"/>
  <c r="D49" i="1"/>
  <c r="E49" i="1" s="1"/>
  <c r="D50" i="1"/>
  <c r="E50" i="1" s="1"/>
  <c r="D51" i="1"/>
  <c r="D52" i="1"/>
  <c r="E52" i="1" s="1"/>
  <c r="D53" i="1"/>
  <c r="D54" i="1"/>
  <c r="D55" i="1"/>
  <c r="D56" i="1"/>
  <c r="D57" i="1"/>
  <c r="D58" i="1"/>
  <c r="D59" i="1"/>
  <c r="E59" i="1" s="1"/>
  <c r="D60" i="1"/>
  <c r="E60" i="1" s="1"/>
  <c r="D61" i="1"/>
  <c r="E61" i="1" s="1"/>
  <c r="D62" i="1"/>
  <c r="E62" i="1" s="1"/>
  <c r="D63" i="1"/>
  <c r="D64" i="1"/>
  <c r="E64" i="1" s="1"/>
  <c r="D65" i="1"/>
  <c r="D66" i="1"/>
  <c r="D67" i="1"/>
  <c r="D68" i="1"/>
  <c r="D69" i="1"/>
  <c r="D70" i="1"/>
  <c r="D71" i="1"/>
  <c r="E71" i="1" s="1"/>
  <c r="D72" i="1"/>
  <c r="D73" i="1"/>
  <c r="E73" i="1" s="1"/>
  <c r="D74" i="1"/>
  <c r="E74" i="1" s="1"/>
  <c r="D75" i="1"/>
  <c r="D76" i="1"/>
  <c r="E76" i="1" s="1"/>
  <c r="D77" i="1"/>
  <c r="D78" i="1"/>
  <c r="D79" i="1"/>
  <c r="D80" i="1"/>
  <c r="D81" i="1"/>
  <c r="D82" i="1"/>
  <c r="D83" i="1"/>
  <c r="E83" i="1" s="1"/>
  <c r="D84" i="1"/>
  <c r="D85" i="1"/>
  <c r="E85" i="1" s="1"/>
  <c r="D86" i="1"/>
  <c r="E86" i="1" s="1"/>
  <c r="D87" i="1"/>
  <c r="D88" i="1"/>
  <c r="D89" i="1"/>
  <c r="D90" i="1"/>
  <c r="D91" i="1"/>
  <c r="D92" i="1"/>
  <c r="D93" i="1"/>
  <c r="D94" i="1"/>
  <c r="D95" i="1"/>
  <c r="E95" i="1" s="1"/>
  <c r="D96" i="1"/>
  <c r="D97" i="1"/>
  <c r="E97" i="1" s="1"/>
  <c r="D98" i="1"/>
  <c r="E98" i="1" s="1"/>
  <c r="D99" i="1"/>
  <c r="D100" i="1"/>
  <c r="E100" i="1" s="1"/>
  <c r="D101" i="1"/>
  <c r="D102" i="1"/>
  <c r="D103" i="1"/>
  <c r="D104" i="1"/>
  <c r="D105" i="1"/>
  <c r="D106" i="1"/>
  <c r="D107" i="1"/>
  <c r="E107" i="1" s="1"/>
  <c r="D108" i="1"/>
  <c r="D109" i="1"/>
  <c r="E109" i="1" s="1"/>
  <c r="D110" i="1"/>
  <c r="E110" i="1" s="1"/>
  <c r="D111" i="1"/>
  <c r="D112" i="1"/>
  <c r="E112" i="1" s="1"/>
  <c r="D113" i="1"/>
  <c r="D114" i="1"/>
  <c r="D115" i="1"/>
  <c r="D116" i="1"/>
  <c r="D117" i="1"/>
  <c r="D118" i="1"/>
  <c r="D119" i="1"/>
  <c r="E119" i="1" s="1"/>
  <c r="D120" i="1"/>
  <c r="D121" i="1"/>
  <c r="E121" i="1" s="1"/>
  <c r="D122" i="1"/>
  <c r="E122" i="1" s="1"/>
  <c r="D123" i="1"/>
  <c r="D124" i="1"/>
  <c r="E124" i="1" s="1"/>
  <c r="D125" i="1"/>
  <c r="D126" i="1"/>
  <c r="D127" i="1"/>
  <c r="D128" i="1"/>
  <c r="D129" i="1"/>
  <c r="D130" i="1"/>
  <c r="D131" i="1"/>
  <c r="E131" i="1" s="1"/>
  <c r="D132" i="1"/>
  <c r="D133" i="1"/>
  <c r="E133" i="1" s="1"/>
  <c r="D134" i="1"/>
  <c r="E134" i="1" s="1"/>
  <c r="D135" i="1"/>
  <c r="D136" i="1"/>
  <c r="E136" i="1" s="1"/>
  <c r="D137" i="1"/>
  <c r="D138" i="1"/>
  <c r="D139" i="1"/>
  <c r="D140" i="1"/>
  <c r="D141" i="1"/>
  <c r="D142" i="1"/>
  <c r="D143" i="1"/>
  <c r="E143" i="1" s="1"/>
  <c r="D144" i="1"/>
  <c r="D145" i="1"/>
  <c r="D146" i="1"/>
  <c r="E146" i="1" s="1"/>
  <c r="D147" i="1"/>
  <c r="D148" i="1"/>
  <c r="E148" i="1" s="1"/>
  <c r="D149" i="1"/>
  <c r="D150" i="1"/>
  <c r="D151" i="1"/>
  <c r="D152" i="1"/>
  <c r="D153" i="1"/>
  <c r="D154" i="1"/>
  <c r="D155" i="1"/>
  <c r="E155" i="1" s="1"/>
  <c r="D156" i="1"/>
  <c r="D157" i="1"/>
  <c r="E157" i="1" s="1"/>
  <c r="D158" i="1"/>
  <c r="E158" i="1" s="1"/>
  <c r="D159" i="1"/>
  <c r="D160" i="1"/>
  <c r="E160" i="1" s="1"/>
  <c r="D161" i="1"/>
  <c r="D162" i="1"/>
  <c r="D163" i="1"/>
  <c r="D164" i="1"/>
  <c r="D165" i="1"/>
  <c r="D166" i="1"/>
  <c r="D167" i="1"/>
  <c r="E167" i="1" s="1"/>
  <c r="D168" i="1"/>
  <c r="D169" i="1"/>
  <c r="E169" i="1" s="1"/>
  <c r="D170" i="1"/>
  <c r="E170" i="1" s="1"/>
  <c r="D171" i="1"/>
  <c r="D172" i="1"/>
  <c r="E172" i="1" s="1"/>
  <c r="D173" i="1"/>
  <c r="D174" i="1"/>
  <c r="D175" i="1"/>
  <c r="D176" i="1"/>
  <c r="D177" i="1"/>
  <c r="D178" i="1"/>
  <c r="D179" i="1"/>
  <c r="E179" i="1" s="1"/>
  <c r="D180" i="1"/>
  <c r="D181" i="1"/>
  <c r="E181" i="1" s="1"/>
  <c r="D182" i="1"/>
  <c r="E182" i="1" s="1"/>
  <c r="D183" i="1"/>
  <c r="D184" i="1"/>
  <c r="E184" i="1" s="1"/>
  <c r="D185" i="1"/>
  <c r="D186" i="1"/>
  <c r="D187" i="1"/>
  <c r="D188" i="1"/>
  <c r="D189" i="1"/>
  <c r="D190" i="1"/>
  <c r="D191" i="1"/>
  <c r="E191" i="1" s="1"/>
  <c r="D192" i="1"/>
  <c r="D193" i="1"/>
  <c r="E193" i="1" s="1"/>
  <c r="D194" i="1"/>
  <c r="E194" i="1" s="1"/>
  <c r="D195" i="1"/>
  <c r="D196" i="1"/>
  <c r="E196" i="1" s="1"/>
  <c r="D197" i="1"/>
  <c r="D198" i="1"/>
  <c r="D199" i="1"/>
  <c r="D200" i="1"/>
  <c r="D201" i="1"/>
  <c r="D202" i="1"/>
  <c r="D203" i="1"/>
  <c r="E203" i="1" s="1"/>
  <c r="D204" i="1"/>
  <c r="D205" i="1"/>
  <c r="E205" i="1" s="1"/>
  <c r="D206" i="1"/>
  <c r="E206" i="1" s="1"/>
  <c r="D207" i="1"/>
  <c r="D208" i="1"/>
  <c r="E208" i="1" s="1"/>
  <c r="D209" i="1"/>
  <c r="D210" i="1"/>
  <c r="D211" i="1"/>
  <c r="D212" i="1"/>
  <c r="D213" i="1"/>
  <c r="D214" i="1"/>
  <c r="D215" i="1"/>
  <c r="E215" i="1" s="1"/>
  <c r="D216" i="1"/>
  <c r="D217" i="1"/>
  <c r="E217" i="1" s="1"/>
  <c r="D218" i="1"/>
  <c r="E218" i="1" s="1"/>
  <c r="D219" i="1"/>
  <c r="D220" i="1"/>
  <c r="D221" i="1"/>
  <c r="D222" i="1"/>
  <c r="D223" i="1"/>
  <c r="D224" i="1"/>
  <c r="D225" i="1"/>
  <c r="D226" i="1"/>
  <c r="D227" i="1"/>
  <c r="E227" i="1" s="1"/>
  <c r="D228" i="1"/>
  <c r="D229" i="1"/>
  <c r="E229" i="1" s="1"/>
  <c r="D230" i="1"/>
  <c r="E230" i="1" s="1"/>
  <c r="D231" i="1"/>
  <c r="D232" i="1"/>
  <c r="E232" i="1" s="1"/>
  <c r="D233" i="1"/>
  <c r="D234" i="1"/>
  <c r="D235" i="1"/>
  <c r="D236" i="1"/>
  <c r="D237" i="1"/>
  <c r="D238" i="1"/>
  <c r="D239" i="1"/>
  <c r="E239" i="1" s="1"/>
  <c r="D240" i="1"/>
  <c r="D241" i="1"/>
  <c r="E241" i="1" s="1"/>
  <c r="D2" i="1"/>
  <c r="E3" i="1"/>
  <c r="F3" i="1"/>
  <c r="G3" i="1"/>
  <c r="H3" i="1"/>
  <c r="I3" i="1"/>
  <c r="F4" i="1"/>
  <c r="G4" i="1"/>
  <c r="H4" i="1"/>
  <c r="I4" i="1"/>
  <c r="E5" i="1"/>
  <c r="F5" i="1"/>
  <c r="G5" i="1"/>
  <c r="H5" i="1"/>
  <c r="I5" i="1"/>
  <c r="E6" i="1"/>
  <c r="F6" i="1"/>
  <c r="G6" i="1"/>
  <c r="H6" i="1"/>
  <c r="I6" i="1"/>
  <c r="E7" i="1"/>
  <c r="F7" i="1"/>
  <c r="G7" i="1"/>
  <c r="H7" i="1"/>
  <c r="I7" i="1"/>
  <c r="E8" i="1"/>
  <c r="F8" i="1"/>
  <c r="G8" i="1"/>
  <c r="H8" i="1"/>
  <c r="I8" i="1"/>
  <c r="E9" i="1"/>
  <c r="F9" i="1"/>
  <c r="G9" i="1"/>
  <c r="H9" i="1"/>
  <c r="I9" i="1"/>
  <c r="E10" i="1"/>
  <c r="F10" i="1"/>
  <c r="G10" i="1"/>
  <c r="H10" i="1"/>
  <c r="I10" i="1"/>
  <c r="F11" i="1"/>
  <c r="G11" i="1"/>
  <c r="H11" i="1"/>
  <c r="I11" i="1"/>
  <c r="E12" i="1"/>
  <c r="F12" i="1"/>
  <c r="G12" i="1"/>
  <c r="H12" i="1"/>
  <c r="I12" i="1"/>
  <c r="F13" i="1"/>
  <c r="G13" i="1"/>
  <c r="H13" i="1"/>
  <c r="I13" i="1"/>
  <c r="F14" i="1"/>
  <c r="G14" i="1"/>
  <c r="H14" i="1"/>
  <c r="I14" i="1"/>
  <c r="E15" i="1"/>
  <c r="F15" i="1"/>
  <c r="G15" i="1"/>
  <c r="H15" i="1"/>
  <c r="I15" i="1"/>
  <c r="F16" i="1"/>
  <c r="G16" i="1"/>
  <c r="H16" i="1"/>
  <c r="I16" i="1"/>
  <c r="E17" i="1"/>
  <c r="F17" i="1"/>
  <c r="G17" i="1"/>
  <c r="H17" i="1"/>
  <c r="I17" i="1"/>
  <c r="E18" i="1"/>
  <c r="F18" i="1"/>
  <c r="G18" i="1"/>
  <c r="H18" i="1"/>
  <c r="I18" i="1"/>
  <c r="E19" i="1"/>
  <c r="F19" i="1"/>
  <c r="G19" i="1"/>
  <c r="H19" i="1"/>
  <c r="I19" i="1"/>
  <c r="E20" i="1"/>
  <c r="F20" i="1"/>
  <c r="G20" i="1"/>
  <c r="H20" i="1"/>
  <c r="I20" i="1"/>
  <c r="E21" i="1"/>
  <c r="F21" i="1"/>
  <c r="G21" i="1"/>
  <c r="H21" i="1"/>
  <c r="I21" i="1"/>
  <c r="E22" i="1"/>
  <c r="F22" i="1"/>
  <c r="G22" i="1"/>
  <c r="H22" i="1"/>
  <c r="I22" i="1"/>
  <c r="F23" i="1"/>
  <c r="G23" i="1"/>
  <c r="H23" i="1"/>
  <c r="I23" i="1"/>
  <c r="F24" i="1"/>
  <c r="G24" i="1"/>
  <c r="H24" i="1"/>
  <c r="I24" i="1"/>
  <c r="F25" i="1"/>
  <c r="G25" i="1"/>
  <c r="H25" i="1"/>
  <c r="I25" i="1"/>
  <c r="F26" i="1"/>
  <c r="G26" i="1"/>
  <c r="H26" i="1"/>
  <c r="I26" i="1"/>
  <c r="E27" i="1"/>
  <c r="F27" i="1"/>
  <c r="G27" i="1"/>
  <c r="H27" i="1"/>
  <c r="I27" i="1"/>
  <c r="F28" i="1"/>
  <c r="G28" i="1"/>
  <c r="H28" i="1"/>
  <c r="I28" i="1"/>
  <c r="E29" i="1"/>
  <c r="F29" i="1"/>
  <c r="G29" i="1"/>
  <c r="H29" i="1"/>
  <c r="I29" i="1"/>
  <c r="E30" i="1"/>
  <c r="F30" i="1"/>
  <c r="G30" i="1"/>
  <c r="H30" i="1"/>
  <c r="I30" i="1"/>
  <c r="E31" i="1"/>
  <c r="F31" i="1"/>
  <c r="G31" i="1"/>
  <c r="H31" i="1"/>
  <c r="I31" i="1"/>
  <c r="E32" i="1"/>
  <c r="F32" i="1"/>
  <c r="G32" i="1"/>
  <c r="H32" i="1"/>
  <c r="I32" i="1"/>
  <c r="E33" i="1"/>
  <c r="F33" i="1"/>
  <c r="G33" i="1"/>
  <c r="H33" i="1"/>
  <c r="I33" i="1"/>
  <c r="E34" i="1"/>
  <c r="F34" i="1"/>
  <c r="G34" i="1"/>
  <c r="H34" i="1"/>
  <c r="I34" i="1"/>
  <c r="F35" i="1"/>
  <c r="G35" i="1"/>
  <c r="H35" i="1"/>
  <c r="I35" i="1"/>
  <c r="F36" i="1"/>
  <c r="G36" i="1"/>
  <c r="H36" i="1"/>
  <c r="I36" i="1"/>
  <c r="E37" i="1"/>
  <c r="F37" i="1"/>
  <c r="G37" i="1"/>
  <c r="H37" i="1"/>
  <c r="I37" i="1"/>
  <c r="F38" i="1"/>
  <c r="G38" i="1"/>
  <c r="H38" i="1"/>
  <c r="I38" i="1"/>
  <c r="E39" i="1"/>
  <c r="F39" i="1"/>
  <c r="G39" i="1"/>
  <c r="H39" i="1"/>
  <c r="I39" i="1"/>
  <c r="F40" i="1"/>
  <c r="G40" i="1"/>
  <c r="H40" i="1"/>
  <c r="I40" i="1"/>
  <c r="E41" i="1"/>
  <c r="F41" i="1"/>
  <c r="G41" i="1"/>
  <c r="H41" i="1"/>
  <c r="I41" i="1"/>
  <c r="E42" i="1"/>
  <c r="F42" i="1"/>
  <c r="G42" i="1"/>
  <c r="H42" i="1"/>
  <c r="I42" i="1"/>
  <c r="E43" i="1"/>
  <c r="F43" i="1"/>
  <c r="G43" i="1"/>
  <c r="H43" i="1"/>
  <c r="I43" i="1"/>
  <c r="E44" i="1"/>
  <c r="F44" i="1"/>
  <c r="G44" i="1"/>
  <c r="H44" i="1"/>
  <c r="I44" i="1"/>
  <c r="E45" i="1"/>
  <c r="F45" i="1"/>
  <c r="G45" i="1"/>
  <c r="H45" i="1"/>
  <c r="I45" i="1"/>
  <c r="E46" i="1"/>
  <c r="F46" i="1"/>
  <c r="G46" i="1"/>
  <c r="H46" i="1"/>
  <c r="I46" i="1"/>
  <c r="F47" i="1"/>
  <c r="G47" i="1"/>
  <c r="H47" i="1"/>
  <c r="I47" i="1"/>
  <c r="F48" i="1"/>
  <c r="G48" i="1"/>
  <c r="H48" i="1"/>
  <c r="I48" i="1"/>
  <c r="F49" i="1"/>
  <c r="G49" i="1"/>
  <c r="H49" i="1"/>
  <c r="I49" i="1"/>
  <c r="F50" i="1"/>
  <c r="G50" i="1"/>
  <c r="H50" i="1"/>
  <c r="I50" i="1"/>
  <c r="E51" i="1"/>
  <c r="F51" i="1"/>
  <c r="G51" i="1"/>
  <c r="H51" i="1"/>
  <c r="I51" i="1"/>
  <c r="F52" i="1"/>
  <c r="G52" i="1"/>
  <c r="H52" i="1"/>
  <c r="I52" i="1"/>
  <c r="E53" i="1"/>
  <c r="F53" i="1"/>
  <c r="G53" i="1"/>
  <c r="H53" i="1"/>
  <c r="I53" i="1"/>
  <c r="E54" i="1"/>
  <c r="F54" i="1"/>
  <c r="G54" i="1"/>
  <c r="H54" i="1"/>
  <c r="I54" i="1"/>
  <c r="E55" i="1"/>
  <c r="F55" i="1"/>
  <c r="G55" i="1"/>
  <c r="H55" i="1"/>
  <c r="I55" i="1"/>
  <c r="E56" i="1"/>
  <c r="F56" i="1"/>
  <c r="G56" i="1"/>
  <c r="H56" i="1"/>
  <c r="I56" i="1"/>
  <c r="E57" i="1"/>
  <c r="F57" i="1"/>
  <c r="G57" i="1"/>
  <c r="H57" i="1"/>
  <c r="I57" i="1"/>
  <c r="E58" i="1"/>
  <c r="F58" i="1"/>
  <c r="G58" i="1"/>
  <c r="H58" i="1"/>
  <c r="I58" i="1"/>
  <c r="F59" i="1"/>
  <c r="G59" i="1"/>
  <c r="H59" i="1"/>
  <c r="I59" i="1"/>
  <c r="F60" i="1"/>
  <c r="G60" i="1"/>
  <c r="H60" i="1"/>
  <c r="I60" i="1"/>
  <c r="F61" i="1"/>
  <c r="G61" i="1"/>
  <c r="H61" i="1"/>
  <c r="I61" i="1"/>
  <c r="F62" i="1"/>
  <c r="G62" i="1"/>
  <c r="H62" i="1"/>
  <c r="I62" i="1"/>
  <c r="E63" i="1"/>
  <c r="F63" i="1"/>
  <c r="G63" i="1"/>
  <c r="H63" i="1"/>
  <c r="I63" i="1"/>
  <c r="F64" i="1"/>
  <c r="G64" i="1"/>
  <c r="H64" i="1"/>
  <c r="I64" i="1"/>
  <c r="E65" i="1"/>
  <c r="F65" i="1"/>
  <c r="G65" i="1"/>
  <c r="H65" i="1"/>
  <c r="I65" i="1"/>
  <c r="E66" i="1"/>
  <c r="F66" i="1"/>
  <c r="G66" i="1"/>
  <c r="H66" i="1"/>
  <c r="I66" i="1"/>
  <c r="E67" i="1"/>
  <c r="F67" i="1"/>
  <c r="G67" i="1"/>
  <c r="H67" i="1"/>
  <c r="I67" i="1"/>
  <c r="E68" i="1"/>
  <c r="F68" i="1"/>
  <c r="G68" i="1"/>
  <c r="H68" i="1"/>
  <c r="I68" i="1"/>
  <c r="E69" i="1"/>
  <c r="F69" i="1"/>
  <c r="G69" i="1"/>
  <c r="H69" i="1"/>
  <c r="I69" i="1"/>
  <c r="E70" i="1"/>
  <c r="F70" i="1"/>
  <c r="G70" i="1"/>
  <c r="H70" i="1"/>
  <c r="I70" i="1"/>
  <c r="F71" i="1"/>
  <c r="G71" i="1"/>
  <c r="H71" i="1"/>
  <c r="I71" i="1"/>
  <c r="E72" i="1"/>
  <c r="F72" i="1"/>
  <c r="G72" i="1"/>
  <c r="H72" i="1"/>
  <c r="I72" i="1"/>
  <c r="F73" i="1"/>
  <c r="G73" i="1"/>
  <c r="H73" i="1"/>
  <c r="I73" i="1"/>
  <c r="F74" i="1"/>
  <c r="G74" i="1"/>
  <c r="H74" i="1"/>
  <c r="I74" i="1"/>
  <c r="E75" i="1"/>
  <c r="F75" i="1"/>
  <c r="G75" i="1"/>
  <c r="H75" i="1"/>
  <c r="I75" i="1"/>
  <c r="F76" i="1"/>
  <c r="G76" i="1"/>
  <c r="H76" i="1"/>
  <c r="I76" i="1"/>
  <c r="E77" i="1"/>
  <c r="F77" i="1"/>
  <c r="G77" i="1"/>
  <c r="H77" i="1"/>
  <c r="I77" i="1"/>
  <c r="E78" i="1"/>
  <c r="F78" i="1"/>
  <c r="G78" i="1"/>
  <c r="H78" i="1"/>
  <c r="I78" i="1"/>
  <c r="E79" i="1"/>
  <c r="F79" i="1"/>
  <c r="G79" i="1"/>
  <c r="H79" i="1"/>
  <c r="I79" i="1"/>
  <c r="E80" i="1"/>
  <c r="F80" i="1"/>
  <c r="G80" i="1"/>
  <c r="H80" i="1"/>
  <c r="I80" i="1"/>
  <c r="E81" i="1"/>
  <c r="F81" i="1"/>
  <c r="G81" i="1"/>
  <c r="H81" i="1"/>
  <c r="I81" i="1"/>
  <c r="E82" i="1"/>
  <c r="F82" i="1"/>
  <c r="G82" i="1"/>
  <c r="H82" i="1"/>
  <c r="I82" i="1"/>
  <c r="F83" i="1"/>
  <c r="G83" i="1"/>
  <c r="H83" i="1"/>
  <c r="I83" i="1"/>
  <c r="E84" i="1"/>
  <c r="F84" i="1"/>
  <c r="G84" i="1"/>
  <c r="H84" i="1"/>
  <c r="I84" i="1"/>
  <c r="F85" i="1"/>
  <c r="G85" i="1"/>
  <c r="H85" i="1"/>
  <c r="I85" i="1"/>
  <c r="F86" i="1"/>
  <c r="G86" i="1"/>
  <c r="H86" i="1"/>
  <c r="I86" i="1"/>
  <c r="E87" i="1"/>
  <c r="F87" i="1"/>
  <c r="G87" i="1"/>
  <c r="H87" i="1"/>
  <c r="I87" i="1"/>
  <c r="E88" i="1"/>
  <c r="F88" i="1"/>
  <c r="G88" i="1"/>
  <c r="H88" i="1"/>
  <c r="I88" i="1"/>
  <c r="E89" i="1"/>
  <c r="F89" i="1"/>
  <c r="G89" i="1"/>
  <c r="H89" i="1"/>
  <c r="I89" i="1"/>
  <c r="E90" i="1"/>
  <c r="F90" i="1"/>
  <c r="G90" i="1"/>
  <c r="H90" i="1"/>
  <c r="I90" i="1"/>
  <c r="E91" i="1"/>
  <c r="F91" i="1"/>
  <c r="G91" i="1"/>
  <c r="H91" i="1"/>
  <c r="I91" i="1"/>
  <c r="E92" i="1"/>
  <c r="F92" i="1"/>
  <c r="G92" i="1"/>
  <c r="H92" i="1"/>
  <c r="I92" i="1"/>
  <c r="E93" i="1"/>
  <c r="F93" i="1"/>
  <c r="G93" i="1"/>
  <c r="H93" i="1"/>
  <c r="I93" i="1"/>
  <c r="E94" i="1"/>
  <c r="F94" i="1"/>
  <c r="G94" i="1"/>
  <c r="H94" i="1"/>
  <c r="I94" i="1"/>
  <c r="F95" i="1"/>
  <c r="G95" i="1"/>
  <c r="H95" i="1"/>
  <c r="I95" i="1"/>
  <c r="E96" i="1"/>
  <c r="F96" i="1"/>
  <c r="G96" i="1"/>
  <c r="H96" i="1"/>
  <c r="I96" i="1"/>
  <c r="F97" i="1"/>
  <c r="G97" i="1"/>
  <c r="H97" i="1"/>
  <c r="I97" i="1"/>
  <c r="F98" i="1"/>
  <c r="G98" i="1"/>
  <c r="H98" i="1"/>
  <c r="I98" i="1"/>
  <c r="E99" i="1"/>
  <c r="F99" i="1"/>
  <c r="G99" i="1"/>
  <c r="H99" i="1"/>
  <c r="I99" i="1"/>
  <c r="F100" i="1"/>
  <c r="G100" i="1"/>
  <c r="H100" i="1"/>
  <c r="I100" i="1"/>
  <c r="E101" i="1"/>
  <c r="F101" i="1"/>
  <c r="G101" i="1"/>
  <c r="H101" i="1"/>
  <c r="I101" i="1"/>
  <c r="E102" i="1"/>
  <c r="F102" i="1"/>
  <c r="G102" i="1"/>
  <c r="H102" i="1"/>
  <c r="I102" i="1"/>
  <c r="E103" i="1"/>
  <c r="F103" i="1"/>
  <c r="G103" i="1"/>
  <c r="H103" i="1"/>
  <c r="I103" i="1"/>
  <c r="E104" i="1"/>
  <c r="F104" i="1"/>
  <c r="G104" i="1"/>
  <c r="H104" i="1"/>
  <c r="I104" i="1"/>
  <c r="E105" i="1"/>
  <c r="F105" i="1"/>
  <c r="G105" i="1"/>
  <c r="H105" i="1"/>
  <c r="I105" i="1"/>
  <c r="E106" i="1"/>
  <c r="F106" i="1"/>
  <c r="G106" i="1"/>
  <c r="H106" i="1"/>
  <c r="I106" i="1"/>
  <c r="F107" i="1"/>
  <c r="G107" i="1"/>
  <c r="H107" i="1"/>
  <c r="I107" i="1"/>
  <c r="E108" i="1"/>
  <c r="F108" i="1"/>
  <c r="G108" i="1"/>
  <c r="H108" i="1"/>
  <c r="I108" i="1"/>
  <c r="F109" i="1"/>
  <c r="G109" i="1"/>
  <c r="H109" i="1"/>
  <c r="I109" i="1"/>
  <c r="F110" i="1"/>
  <c r="G110" i="1"/>
  <c r="H110" i="1"/>
  <c r="I110" i="1"/>
  <c r="E111" i="1"/>
  <c r="F111" i="1"/>
  <c r="G111" i="1"/>
  <c r="H111" i="1"/>
  <c r="I111" i="1"/>
  <c r="F112" i="1"/>
  <c r="G112" i="1"/>
  <c r="H112" i="1"/>
  <c r="I112" i="1"/>
  <c r="E113" i="1"/>
  <c r="F113" i="1"/>
  <c r="G113" i="1"/>
  <c r="H113" i="1"/>
  <c r="I113" i="1"/>
  <c r="E114" i="1"/>
  <c r="F114" i="1"/>
  <c r="G114" i="1"/>
  <c r="H114" i="1"/>
  <c r="I114" i="1"/>
  <c r="E115" i="1"/>
  <c r="F115" i="1"/>
  <c r="G115" i="1"/>
  <c r="H115" i="1"/>
  <c r="I115" i="1"/>
  <c r="E116" i="1"/>
  <c r="F116" i="1"/>
  <c r="G116" i="1"/>
  <c r="H116" i="1"/>
  <c r="I116" i="1"/>
  <c r="E117" i="1"/>
  <c r="F117" i="1"/>
  <c r="G117" i="1"/>
  <c r="H117" i="1"/>
  <c r="I117" i="1"/>
  <c r="E118" i="1"/>
  <c r="F118" i="1"/>
  <c r="G118" i="1"/>
  <c r="H118" i="1"/>
  <c r="I118" i="1"/>
  <c r="F119" i="1"/>
  <c r="G119" i="1"/>
  <c r="H119" i="1"/>
  <c r="I119" i="1"/>
  <c r="E120" i="1"/>
  <c r="F120" i="1"/>
  <c r="G120" i="1"/>
  <c r="H120" i="1"/>
  <c r="I120" i="1"/>
  <c r="F121" i="1"/>
  <c r="G121" i="1"/>
  <c r="H121" i="1"/>
  <c r="I121" i="1"/>
  <c r="F122" i="1"/>
  <c r="G122" i="1"/>
  <c r="H122" i="1"/>
  <c r="I122" i="1"/>
  <c r="E123" i="1"/>
  <c r="F123" i="1"/>
  <c r="G123" i="1"/>
  <c r="H123" i="1"/>
  <c r="I123" i="1"/>
  <c r="F124" i="1"/>
  <c r="G124" i="1"/>
  <c r="H124" i="1"/>
  <c r="I124" i="1"/>
  <c r="E125" i="1"/>
  <c r="F125" i="1"/>
  <c r="G125" i="1"/>
  <c r="H125" i="1"/>
  <c r="I125" i="1"/>
  <c r="E126" i="1"/>
  <c r="F126" i="1"/>
  <c r="G126" i="1"/>
  <c r="H126" i="1"/>
  <c r="I126" i="1"/>
  <c r="E127" i="1"/>
  <c r="F127" i="1"/>
  <c r="G127" i="1"/>
  <c r="H127" i="1"/>
  <c r="I127" i="1"/>
  <c r="E128" i="1"/>
  <c r="F128" i="1"/>
  <c r="G128" i="1"/>
  <c r="H128" i="1"/>
  <c r="I128" i="1"/>
  <c r="E129" i="1"/>
  <c r="F129" i="1"/>
  <c r="G129" i="1"/>
  <c r="H129" i="1"/>
  <c r="I129" i="1"/>
  <c r="E130" i="1"/>
  <c r="F130" i="1"/>
  <c r="G130" i="1"/>
  <c r="H130" i="1"/>
  <c r="I130" i="1"/>
  <c r="F131" i="1"/>
  <c r="G131" i="1"/>
  <c r="H131" i="1"/>
  <c r="I131" i="1"/>
  <c r="E132" i="1"/>
  <c r="F132" i="1"/>
  <c r="G132" i="1"/>
  <c r="H132" i="1"/>
  <c r="I132" i="1"/>
  <c r="F133" i="1"/>
  <c r="G133" i="1"/>
  <c r="H133" i="1"/>
  <c r="I133" i="1"/>
  <c r="F134" i="1"/>
  <c r="G134" i="1"/>
  <c r="H134" i="1"/>
  <c r="I134" i="1"/>
  <c r="E135" i="1"/>
  <c r="F135" i="1"/>
  <c r="G135" i="1"/>
  <c r="H135" i="1"/>
  <c r="I135" i="1"/>
  <c r="F136" i="1"/>
  <c r="G136" i="1"/>
  <c r="H136" i="1"/>
  <c r="I136" i="1"/>
  <c r="E137" i="1"/>
  <c r="F137" i="1"/>
  <c r="G137" i="1"/>
  <c r="H137" i="1"/>
  <c r="I137" i="1"/>
  <c r="E138" i="1"/>
  <c r="F138" i="1"/>
  <c r="G138" i="1"/>
  <c r="H138" i="1"/>
  <c r="I138" i="1"/>
  <c r="E139" i="1"/>
  <c r="F139" i="1"/>
  <c r="G139" i="1"/>
  <c r="H139" i="1"/>
  <c r="I139" i="1"/>
  <c r="E140" i="1"/>
  <c r="F140" i="1"/>
  <c r="G140" i="1"/>
  <c r="H140" i="1"/>
  <c r="I140" i="1"/>
  <c r="E141" i="1"/>
  <c r="F141" i="1"/>
  <c r="G141" i="1"/>
  <c r="H141" i="1"/>
  <c r="I141" i="1"/>
  <c r="E142" i="1"/>
  <c r="F142" i="1"/>
  <c r="G142" i="1"/>
  <c r="H142" i="1"/>
  <c r="I142" i="1"/>
  <c r="F143" i="1"/>
  <c r="G143" i="1"/>
  <c r="H143" i="1"/>
  <c r="I143" i="1"/>
  <c r="E144" i="1"/>
  <c r="F144" i="1"/>
  <c r="G144" i="1"/>
  <c r="H144" i="1"/>
  <c r="I144" i="1"/>
  <c r="E145" i="1"/>
  <c r="F145" i="1"/>
  <c r="G145" i="1"/>
  <c r="H145" i="1"/>
  <c r="I145" i="1"/>
  <c r="F146" i="1"/>
  <c r="G146" i="1"/>
  <c r="H146" i="1"/>
  <c r="I146" i="1"/>
  <c r="E147" i="1"/>
  <c r="F147" i="1"/>
  <c r="G147" i="1"/>
  <c r="H147" i="1"/>
  <c r="I147" i="1"/>
  <c r="F148" i="1"/>
  <c r="G148" i="1"/>
  <c r="H148" i="1"/>
  <c r="I148" i="1"/>
  <c r="E149" i="1"/>
  <c r="F149" i="1"/>
  <c r="G149" i="1"/>
  <c r="H149" i="1"/>
  <c r="I149" i="1"/>
  <c r="E150" i="1"/>
  <c r="F150" i="1"/>
  <c r="G150" i="1"/>
  <c r="H150" i="1"/>
  <c r="I150" i="1"/>
  <c r="E151" i="1"/>
  <c r="F151" i="1"/>
  <c r="G151" i="1"/>
  <c r="H151" i="1"/>
  <c r="I151" i="1"/>
  <c r="E152" i="1"/>
  <c r="F152" i="1"/>
  <c r="G152" i="1"/>
  <c r="H152" i="1"/>
  <c r="I152" i="1"/>
  <c r="E153" i="1"/>
  <c r="F153" i="1"/>
  <c r="G153" i="1"/>
  <c r="H153" i="1"/>
  <c r="I153" i="1"/>
  <c r="E154" i="1"/>
  <c r="F154" i="1"/>
  <c r="G154" i="1"/>
  <c r="H154" i="1"/>
  <c r="I154" i="1"/>
  <c r="F155" i="1"/>
  <c r="G155" i="1"/>
  <c r="H155" i="1"/>
  <c r="I155" i="1"/>
  <c r="E156" i="1"/>
  <c r="F156" i="1"/>
  <c r="G156" i="1"/>
  <c r="H156" i="1"/>
  <c r="I156" i="1"/>
  <c r="F157" i="1"/>
  <c r="G157" i="1"/>
  <c r="H157" i="1"/>
  <c r="I157" i="1"/>
  <c r="F158" i="1"/>
  <c r="G158" i="1"/>
  <c r="H158" i="1"/>
  <c r="I158" i="1"/>
  <c r="E159" i="1"/>
  <c r="F159" i="1"/>
  <c r="G159" i="1"/>
  <c r="H159" i="1"/>
  <c r="I159" i="1"/>
  <c r="F160" i="1"/>
  <c r="G160" i="1"/>
  <c r="H160" i="1"/>
  <c r="I160" i="1"/>
  <c r="E161" i="1"/>
  <c r="F161" i="1"/>
  <c r="G161" i="1"/>
  <c r="H161" i="1"/>
  <c r="I161" i="1"/>
  <c r="E162" i="1"/>
  <c r="F162" i="1"/>
  <c r="G162" i="1"/>
  <c r="H162" i="1"/>
  <c r="I162" i="1"/>
  <c r="E163" i="1"/>
  <c r="F163" i="1"/>
  <c r="G163" i="1"/>
  <c r="H163" i="1"/>
  <c r="I163" i="1"/>
  <c r="E164" i="1"/>
  <c r="F164" i="1"/>
  <c r="G164" i="1"/>
  <c r="H164" i="1"/>
  <c r="I164" i="1"/>
  <c r="E165" i="1"/>
  <c r="F165" i="1"/>
  <c r="G165" i="1"/>
  <c r="H165" i="1"/>
  <c r="I165" i="1"/>
  <c r="E166" i="1"/>
  <c r="F166" i="1"/>
  <c r="G166" i="1"/>
  <c r="H166" i="1"/>
  <c r="I166" i="1"/>
  <c r="F167" i="1"/>
  <c r="G167" i="1"/>
  <c r="H167" i="1"/>
  <c r="I167" i="1"/>
  <c r="E168" i="1"/>
  <c r="F168" i="1"/>
  <c r="G168" i="1"/>
  <c r="H168" i="1"/>
  <c r="I168" i="1"/>
  <c r="F169" i="1"/>
  <c r="G169" i="1"/>
  <c r="H169" i="1"/>
  <c r="I169" i="1"/>
  <c r="F170" i="1"/>
  <c r="G170" i="1"/>
  <c r="H170" i="1"/>
  <c r="I170" i="1"/>
  <c r="E171" i="1"/>
  <c r="F171" i="1"/>
  <c r="G171" i="1"/>
  <c r="H171" i="1"/>
  <c r="I171" i="1"/>
  <c r="F172" i="1"/>
  <c r="G172" i="1"/>
  <c r="H172" i="1"/>
  <c r="I172" i="1"/>
  <c r="E173" i="1"/>
  <c r="F173" i="1"/>
  <c r="G173" i="1"/>
  <c r="H173" i="1"/>
  <c r="I173" i="1"/>
  <c r="E174" i="1"/>
  <c r="F174" i="1"/>
  <c r="G174" i="1"/>
  <c r="H174" i="1"/>
  <c r="I174" i="1"/>
  <c r="E175" i="1"/>
  <c r="F175" i="1"/>
  <c r="G175" i="1"/>
  <c r="H175" i="1"/>
  <c r="I175" i="1"/>
  <c r="E176" i="1"/>
  <c r="F176" i="1"/>
  <c r="G176" i="1"/>
  <c r="H176" i="1"/>
  <c r="I176" i="1"/>
  <c r="E177" i="1"/>
  <c r="F177" i="1"/>
  <c r="G177" i="1"/>
  <c r="H177" i="1"/>
  <c r="I177" i="1"/>
  <c r="E178" i="1"/>
  <c r="F178" i="1"/>
  <c r="G178" i="1"/>
  <c r="H178" i="1"/>
  <c r="I178" i="1"/>
  <c r="F179" i="1"/>
  <c r="G179" i="1"/>
  <c r="H179" i="1"/>
  <c r="I179" i="1"/>
  <c r="E180" i="1"/>
  <c r="F180" i="1"/>
  <c r="G180" i="1"/>
  <c r="H180" i="1"/>
  <c r="I180" i="1"/>
  <c r="F181" i="1"/>
  <c r="G181" i="1"/>
  <c r="H181" i="1"/>
  <c r="I181" i="1"/>
  <c r="F182" i="1"/>
  <c r="G182" i="1"/>
  <c r="H182" i="1"/>
  <c r="I182" i="1"/>
  <c r="E183" i="1"/>
  <c r="F183" i="1"/>
  <c r="G183" i="1"/>
  <c r="H183" i="1"/>
  <c r="I183" i="1"/>
  <c r="F184" i="1"/>
  <c r="G184" i="1"/>
  <c r="H184" i="1"/>
  <c r="I184" i="1"/>
  <c r="E185" i="1"/>
  <c r="F185" i="1"/>
  <c r="G185" i="1"/>
  <c r="H185" i="1"/>
  <c r="I185" i="1"/>
  <c r="E186" i="1"/>
  <c r="F186" i="1"/>
  <c r="G186" i="1"/>
  <c r="H186" i="1"/>
  <c r="I186" i="1"/>
  <c r="E187" i="1"/>
  <c r="F187" i="1"/>
  <c r="G187" i="1"/>
  <c r="H187" i="1"/>
  <c r="I187" i="1"/>
  <c r="E188" i="1"/>
  <c r="F188" i="1"/>
  <c r="G188" i="1"/>
  <c r="H188" i="1"/>
  <c r="I188" i="1"/>
  <c r="E189" i="1"/>
  <c r="F189" i="1"/>
  <c r="G189" i="1"/>
  <c r="H189" i="1"/>
  <c r="I189" i="1"/>
  <c r="E190" i="1"/>
  <c r="F190" i="1"/>
  <c r="G190" i="1"/>
  <c r="H190" i="1"/>
  <c r="I190" i="1"/>
  <c r="F191" i="1"/>
  <c r="G191" i="1"/>
  <c r="H191" i="1"/>
  <c r="I191" i="1"/>
  <c r="E192" i="1"/>
  <c r="F192" i="1"/>
  <c r="G192" i="1"/>
  <c r="H192" i="1"/>
  <c r="I192" i="1"/>
  <c r="F193" i="1"/>
  <c r="G193" i="1"/>
  <c r="H193" i="1"/>
  <c r="I193" i="1"/>
  <c r="F194" i="1"/>
  <c r="G194" i="1"/>
  <c r="H194" i="1"/>
  <c r="I194" i="1"/>
  <c r="E195" i="1"/>
  <c r="F195" i="1"/>
  <c r="G195" i="1"/>
  <c r="H195" i="1"/>
  <c r="I195" i="1"/>
  <c r="F196" i="1"/>
  <c r="G196" i="1"/>
  <c r="H196" i="1"/>
  <c r="I196" i="1"/>
  <c r="E197" i="1"/>
  <c r="F197" i="1"/>
  <c r="G197" i="1"/>
  <c r="H197" i="1"/>
  <c r="I197" i="1"/>
  <c r="E198" i="1"/>
  <c r="F198" i="1"/>
  <c r="G198" i="1"/>
  <c r="H198" i="1"/>
  <c r="I198" i="1"/>
  <c r="E199" i="1"/>
  <c r="F199" i="1"/>
  <c r="G199" i="1"/>
  <c r="H199" i="1"/>
  <c r="I199" i="1"/>
  <c r="E200" i="1"/>
  <c r="F200" i="1"/>
  <c r="G200" i="1"/>
  <c r="H200" i="1"/>
  <c r="I200" i="1"/>
  <c r="E201" i="1"/>
  <c r="F201" i="1"/>
  <c r="G201" i="1"/>
  <c r="H201" i="1"/>
  <c r="I201" i="1"/>
  <c r="E202" i="1"/>
  <c r="F202" i="1"/>
  <c r="G202" i="1"/>
  <c r="H202" i="1"/>
  <c r="I202" i="1"/>
  <c r="F203" i="1"/>
  <c r="G203" i="1"/>
  <c r="H203" i="1"/>
  <c r="I203" i="1"/>
  <c r="E204" i="1"/>
  <c r="F204" i="1"/>
  <c r="G204" i="1"/>
  <c r="H204" i="1"/>
  <c r="I204" i="1"/>
  <c r="F205" i="1"/>
  <c r="G205" i="1"/>
  <c r="H205" i="1"/>
  <c r="I205" i="1"/>
  <c r="F206" i="1"/>
  <c r="G206" i="1"/>
  <c r="H206" i="1"/>
  <c r="I206" i="1"/>
  <c r="E207" i="1"/>
  <c r="F207" i="1"/>
  <c r="G207" i="1"/>
  <c r="H207" i="1"/>
  <c r="I207" i="1"/>
  <c r="F208" i="1"/>
  <c r="G208" i="1"/>
  <c r="H208" i="1"/>
  <c r="I208" i="1"/>
  <c r="E209" i="1"/>
  <c r="F209" i="1"/>
  <c r="G209" i="1"/>
  <c r="H209" i="1"/>
  <c r="I209" i="1"/>
  <c r="E210" i="1"/>
  <c r="F210" i="1"/>
  <c r="G210" i="1"/>
  <c r="H210" i="1"/>
  <c r="I210" i="1"/>
  <c r="E211" i="1"/>
  <c r="F211" i="1"/>
  <c r="G211" i="1"/>
  <c r="H211" i="1"/>
  <c r="I211" i="1"/>
  <c r="E212" i="1"/>
  <c r="F212" i="1"/>
  <c r="G212" i="1"/>
  <c r="H212" i="1"/>
  <c r="I212" i="1"/>
  <c r="E213" i="1"/>
  <c r="F213" i="1"/>
  <c r="G213" i="1"/>
  <c r="H213" i="1"/>
  <c r="I213" i="1"/>
  <c r="E214" i="1"/>
  <c r="F214" i="1"/>
  <c r="G214" i="1"/>
  <c r="H214" i="1"/>
  <c r="I214" i="1"/>
  <c r="F215" i="1"/>
  <c r="G215" i="1"/>
  <c r="H215" i="1"/>
  <c r="I215" i="1"/>
  <c r="E216" i="1"/>
  <c r="F216" i="1"/>
  <c r="G216" i="1"/>
  <c r="H216" i="1"/>
  <c r="I216" i="1"/>
  <c r="F217" i="1"/>
  <c r="G217" i="1"/>
  <c r="H217" i="1"/>
  <c r="I217" i="1"/>
  <c r="F218" i="1"/>
  <c r="G218" i="1"/>
  <c r="H218" i="1"/>
  <c r="I218" i="1"/>
  <c r="E219" i="1"/>
  <c r="F219" i="1"/>
  <c r="G219" i="1"/>
  <c r="H219" i="1"/>
  <c r="I219" i="1"/>
  <c r="E220" i="1"/>
  <c r="F220" i="1"/>
  <c r="G220" i="1"/>
  <c r="H220" i="1"/>
  <c r="I220" i="1"/>
  <c r="E221" i="1"/>
  <c r="F221" i="1"/>
  <c r="G221" i="1"/>
  <c r="H221" i="1"/>
  <c r="I221" i="1"/>
  <c r="E222" i="1"/>
  <c r="F222" i="1"/>
  <c r="G222" i="1"/>
  <c r="H222" i="1"/>
  <c r="I222" i="1"/>
  <c r="E223" i="1"/>
  <c r="F223" i="1"/>
  <c r="G223" i="1"/>
  <c r="H223" i="1"/>
  <c r="I223" i="1"/>
  <c r="E224" i="1"/>
  <c r="F224" i="1"/>
  <c r="G224" i="1"/>
  <c r="H224" i="1"/>
  <c r="I224" i="1"/>
  <c r="E225" i="1"/>
  <c r="F225" i="1"/>
  <c r="G225" i="1"/>
  <c r="H225" i="1"/>
  <c r="I225" i="1"/>
  <c r="E226" i="1"/>
  <c r="F226" i="1"/>
  <c r="G226" i="1"/>
  <c r="H226" i="1"/>
  <c r="I226" i="1"/>
  <c r="F227" i="1"/>
  <c r="G227" i="1"/>
  <c r="H227" i="1"/>
  <c r="I227" i="1"/>
  <c r="E228" i="1"/>
  <c r="F228" i="1"/>
  <c r="G228" i="1"/>
  <c r="H228" i="1"/>
  <c r="I228" i="1"/>
  <c r="F229" i="1"/>
  <c r="G229" i="1"/>
  <c r="H229" i="1"/>
  <c r="I229" i="1"/>
  <c r="F230" i="1"/>
  <c r="G230" i="1"/>
  <c r="H230" i="1"/>
  <c r="I230" i="1"/>
  <c r="E231" i="1"/>
  <c r="F231" i="1"/>
  <c r="G231" i="1"/>
  <c r="H231" i="1"/>
  <c r="I231" i="1"/>
  <c r="F232" i="1"/>
  <c r="G232" i="1"/>
  <c r="H232" i="1"/>
  <c r="I232" i="1"/>
  <c r="E233" i="1"/>
  <c r="F233" i="1"/>
  <c r="G233" i="1"/>
  <c r="H233" i="1"/>
  <c r="I233" i="1"/>
  <c r="E234" i="1"/>
  <c r="F234" i="1"/>
  <c r="G234" i="1"/>
  <c r="H234" i="1"/>
  <c r="I234" i="1"/>
  <c r="E235" i="1"/>
  <c r="F235" i="1"/>
  <c r="G235" i="1"/>
  <c r="H235" i="1"/>
  <c r="I235" i="1"/>
  <c r="E236" i="1"/>
  <c r="F236" i="1"/>
  <c r="G236" i="1"/>
  <c r="H236" i="1"/>
  <c r="I236" i="1"/>
  <c r="E237" i="1"/>
  <c r="F237" i="1"/>
  <c r="G237" i="1"/>
  <c r="H237" i="1"/>
  <c r="I237" i="1"/>
  <c r="E238" i="1"/>
  <c r="F238" i="1"/>
  <c r="G238" i="1"/>
  <c r="H238" i="1"/>
  <c r="I238" i="1"/>
  <c r="F239" i="1"/>
  <c r="G239" i="1"/>
  <c r="H239" i="1"/>
  <c r="I239" i="1"/>
  <c r="E240" i="1"/>
  <c r="F240" i="1"/>
  <c r="G240" i="1"/>
  <c r="H240" i="1"/>
  <c r="I240" i="1"/>
  <c r="F241" i="1"/>
  <c r="G241" i="1"/>
  <c r="H241" i="1"/>
  <c r="I241" i="1"/>
  <c r="I2" i="1"/>
  <c r="G2" i="1"/>
</calcChain>
</file>

<file path=xl/sharedStrings.xml><?xml version="1.0" encoding="utf-8"?>
<sst xmlns="http://schemas.openxmlformats.org/spreadsheetml/2006/main" count="249" uniqueCount="249">
  <si>
    <t>Institution</t>
  </si>
  <si>
    <t>Primary analysis authors</t>
  </si>
  <si>
    <t>Top-cited</t>
  </si>
  <si>
    <t>AgroParisTech</t>
  </si>
  <si>
    <t>Air Liquide</t>
  </si>
  <si>
    <t>Aix Marseille Université</t>
  </si>
  <si>
    <t>Alstom</t>
  </si>
  <si>
    <t>ANSES - French Agency for Food, Environmental and Occupational Health &amp; Safety</t>
  </si>
  <si>
    <t>AP-HM Assistance Publique - Hôpitaux de Marseille</t>
  </si>
  <si>
    <t>AP-HP Assistance Publique - Hopitaux de Paris</t>
  </si>
  <si>
    <t>AREVA</t>
  </si>
  <si>
    <t>Arts et Metiers Institute of Technology</t>
  </si>
  <si>
    <t>Autorité de Sûreté Nucléaire et de Radioprotection - ASNR</t>
  </si>
  <si>
    <t>BioMérieux SA</t>
  </si>
  <si>
    <t>Bordeaux INP</t>
  </si>
  <si>
    <t>BRGM</t>
  </si>
  <si>
    <t>Centrale Méditerranée</t>
  </si>
  <si>
    <t>CentraleSupélec - Campus de Rennes</t>
  </si>
  <si>
    <t>CentraleSupélec - Paris-Saclay</t>
  </si>
  <si>
    <t>Centre de Recherche INRAE Provence-Alpes-Côte d’Azur</t>
  </si>
  <si>
    <t>Centre d'Etudes et d'Expertise sur les Risques, l'Environnement, la Mobilité et l'Aménagement</t>
  </si>
  <si>
    <t>Centre Hospitalier Intercommunal Creteil</t>
  </si>
  <si>
    <t>Centre Hospitalier Regional et Universitaire de Tours</t>
  </si>
  <si>
    <t>Centre Hospitalier Universitaire de Besançon</t>
  </si>
  <si>
    <t>Centre Hospitalier Universitaire de Bordeaux</t>
  </si>
  <si>
    <t>Centre Hospitalier Universitaire de Brest</t>
  </si>
  <si>
    <t>Centre Hospitalier Universitaire de Clermont-Ferrand</t>
  </si>
  <si>
    <t>Centre Hospitalier Universitaire de Grenoble</t>
  </si>
  <si>
    <t>Centre Hospitalier Universitaire de Montpellier</t>
  </si>
  <si>
    <t>Centre Hospitalier Universitaire de Nice</t>
  </si>
  <si>
    <t>Centre Hospitalier Universitaire de Nîmes</t>
  </si>
  <si>
    <t>Centre Hospitalier Universitaire de Poitiers</t>
  </si>
  <si>
    <t>Centre Hospitalier Universitaire de Rennes</t>
  </si>
  <si>
    <t>Centre Hospitalier Universitaire de Saint-Étienne</t>
  </si>
  <si>
    <t>Centre INRAE Bourgogne-Franche-Comté</t>
  </si>
  <si>
    <t>Centre INRAE Pays de la Loire</t>
  </si>
  <si>
    <t>Centre INRAE Val de Loire</t>
  </si>
  <si>
    <t>Centre international de Recherche sur le Cancer</t>
  </si>
  <si>
    <t>CGG SA.</t>
  </si>
  <si>
    <t>CGIAR System Organization</t>
  </si>
  <si>
    <t>CHU Amiens Picardie</t>
  </si>
  <si>
    <t>CHU Angers</t>
  </si>
  <si>
    <t>CHU de Caen Normandie</t>
  </si>
  <si>
    <t>CHU de Limoges</t>
  </si>
  <si>
    <t>CHU de Lyon</t>
  </si>
  <si>
    <t>CHU de Nancy</t>
  </si>
  <si>
    <t>CHU de Toulouse</t>
  </si>
  <si>
    <t>CHU Lille</t>
  </si>
  <si>
    <t>CHU Rouen Normandie</t>
  </si>
  <si>
    <t>CHV Centre Hospitalier de Versailles</t>
  </si>
  <si>
    <t>CIRAD</t>
  </si>
  <si>
    <t>CNES Centre National d'Etudes Spatiales</t>
  </si>
  <si>
    <t>CNRS Centre National de la Recherche Scientifique</t>
  </si>
  <si>
    <t>Collège de France</t>
  </si>
  <si>
    <t>Commissariat a l'Energie Atomique et aux Energies Alternatives</t>
  </si>
  <si>
    <t>Conservatoire National des Arts et Metiers</t>
  </si>
  <si>
    <t>CPE Lyon</t>
  </si>
  <si>
    <t>CRLC Centre Val d'Aurelle - Paul Lamarque</t>
  </si>
  <si>
    <t>CY Cergy Paris Université</t>
  </si>
  <si>
    <t>Dassault Systemes</t>
  </si>
  <si>
    <t>Ecole Centrale de Lille</t>
  </si>
  <si>
    <t>École Centrale de Lyon</t>
  </si>
  <si>
    <t>École des hautes études commerciales de Paris</t>
  </si>
  <si>
    <t>École des Hautes Études en Sciences Sociales</t>
  </si>
  <si>
    <t>École des Mines de Saint-Étienne</t>
  </si>
  <si>
    <t>École Nationale des ponts et Chaussées</t>
  </si>
  <si>
    <t>Ecole Nationale des Travaux Publics de l'Etat</t>
  </si>
  <si>
    <t>Ecole Nationale d'Ingenieurs de Brest</t>
  </si>
  <si>
    <t>École Nationale Supérieure d’Ingénieurs de Caen</t>
  </si>
  <si>
    <t>École Nationale Supérieure de Chimie de Paris</t>
  </si>
  <si>
    <t>Ecole Nationale Vétérinaire d'Alfort</t>
  </si>
  <si>
    <t>École Nationale Vétérinaire de Toulouse</t>
  </si>
  <si>
    <t>École Normale Supérieure</t>
  </si>
  <si>
    <t>École Normale Supérieure de Lyon</t>
  </si>
  <si>
    <t>École Normale Supérieure Paris-Saclay</t>
  </si>
  <si>
    <t>École Polytechnique</t>
  </si>
  <si>
    <t>École Pratique des Hautes Études</t>
  </si>
  <si>
    <t>École Supérieure de Physique et de Chimie Industrielles de la Ville de Paris</t>
  </si>
  <si>
    <t>Electricité de France</t>
  </si>
  <si>
    <t>EMLYON Business School</t>
  </si>
  <si>
    <t>ENSTA</t>
  </si>
  <si>
    <t>ESIEE</t>
  </si>
  <si>
    <t>ESSEC Business School</t>
  </si>
  <si>
    <t>Etablissement Français du Sang</t>
  </si>
  <si>
    <t>EURECOM</t>
  </si>
  <si>
    <t>European Space Agency - ESA</t>
  </si>
  <si>
    <t>European Synchrotron Radiation Facility</t>
  </si>
  <si>
    <t>Fondation Adolphe de Rothschild</t>
  </si>
  <si>
    <t>GENOPOLE</t>
  </si>
  <si>
    <t>Grenoble Ecole de Management</t>
  </si>
  <si>
    <t>Groupe Hospitalier Paris Saint-Joseph</t>
  </si>
  <si>
    <t>Groupe Pierre Fabre</t>
  </si>
  <si>
    <t>HIA Sainte-Anne a Toulon</t>
  </si>
  <si>
    <t>Hopital Ambroise Pare, Boulogne-Billancourt</t>
  </si>
  <si>
    <t>Hopital Avicenne</t>
  </si>
  <si>
    <t>Hôpital Brabois Adultes</t>
  </si>
  <si>
    <t>Hopital de Bicetre</t>
  </si>
  <si>
    <t>Hopital Foch</t>
  </si>
  <si>
    <t>Hôpital Henri Mondor</t>
  </si>
  <si>
    <t>Hopital Raymond Poincare</t>
  </si>
  <si>
    <t>IFP Energies nouvelles</t>
  </si>
  <si>
    <t>IFREMER Institut Francais de Recherche pour l'Exploitation de la Mer</t>
  </si>
  <si>
    <t>IMT Atlantique</t>
  </si>
  <si>
    <t>IMT Mines Albi</t>
  </si>
  <si>
    <t>IMT Mines Alès</t>
  </si>
  <si>
    <t>IMT Nord Europe</t>
  </si>
  <si>
    <t>IN2P3 - Institut National de Physique Nucléaire et de Physique Des Particules</t>
  </si>
  <si>
    <t>INC - Institut de Chimie</t>
  </si>
  <si>
    <t>INEE - Institut Écologie et Environnement</t>
  </si>
  <si>
    <t>INERIS Institut National de l'Environnement Industriel et des Risques</t>
  </si>
  <si>
    <t>INP - Institut de Physique</t>
  </si>
  <si>
    <t>INP Grenoble</t>
  </si>
  <si>
    <t>INRA Institut National de La Recherche Agronomique</t>
  </si>
  <si>
    <t>INRAE</t>
  </si>
  <si>
    <t>INRAE Occitanie-Toulouse Centre</t>
  </si>
  <si>
    <t>INRAE's Occitanie-Montpellier Centre</t>
  </si>
  <si>
    <t>INRIA Institut National de Recherche en Informatique et en Automatique</t>
  </si>
  <si>
    <t>INRS Institut National de Recherche et de Sécurité</t>
  </si>
  <si>
    <t>INS2I - Institut Des Sciences de L'Information et de Leurs Interactions</t>
  </si>
  <si>
    <t>INSA Centre Val de Loire</t>
  </si>
  <si>
    <t>INSA Lyon</t>
  </si>
  <si>
    <t>INSA Rouen Normandie</t>
  </si>
  <si>
    <t>INSA Toulouse</t>
  </si>
  <si>
    <t>INSB - Institut des Sciences Biologiques</t>
  </si>
  <si>
    <t>INSEAD, Europe</t>
  </si>
  <si>
    <t>Inserm</t>
  </si>
  <si>
    <t>INSHS - Institut des Sciences Humaines et Sociales</t>
  </si>
  <si>
    <t>INSIS - Institut des Sciences de L'Ingénierie et des Systèmes</t>
  </si>
  <si>
    <t>INSMI - Institut National des Sciences Mathématiques et de Leurs Interactions</t>
  </si>
  <si>
    <t>Institut Bergonie</t>
  </si>
  <si>
    <t>Institut Curie</t>
  </si>
  <si>
    <t>Institut de Cancérologie de l’Ouest</t>
  </si>
  <si>
    <t>Institut de Cancerologie Gustave Roussy</t>
  </si>
  <si>
    <t>Institut de recherche biomédicale des armées</t>
  </si>
  <si>
    <t>Institut d'Optique Graduate School</t>
  </si>
  <si>
    <t>Institut Français du Cheval et de l’Equitation</t>
  </si>
  <si>
    <t>Institut franco-allemand de recherches de Saint-Louis</t>
  </si>
  <si>
    <t>Institut Laue-Langevin</t>
  </si>
  <si>
    <t>Institut National de Recherche en Sciences et Technologies pour l'environnement et l'agriculture</t>
  </si>
  <si>
    <t>Institut National Polytechnique de Toulouse</t>
  </si>
  <si>
    <t>Institut Paoli-Calmettes</t>
  </si>
  <si>
    <t>Institut Pasteur de Lille</t>
  </si>
  <si>
    <t>Institut Pasteur, Paris</t>
  </si>
  <si>
    <t>Institut Polytechnique de Paris</t>
  </si>
  <si>
    <t>Institut Universitaire de France</t>
  </si>
  <si>
    <t>INSU - Institut National des Sciences de l'Univers</t>
  </si>
  <si>
    <t>Ipsen</t>
  </si>
  <si>
    <t>IRD Institut de Recherche pour le Developpement</t>
  </si>
  <si>
    <t>ISAE-SUPAERO</t>
  </si>
  <si>
    <t>ITER</t>
  </si>
  <si>
    <t>KEDGE Business School</t>
  </si>
  <si>
    <t>La Rochelle Université</t>
  </si>
  <si>
    <t>Laboratoire National de Metrologie et d'Essais</t>
  </si>
  <si>
    <t>Le Centre Régional de Lutte Contre le Cancer Léon Bérard</t>
  </si>
  <si>
    <t>Le Mans Université</t>
  </si>
  <si>
    <t>Les Hôpitaux Universitaires de Strasbourg</t>
  </si>
  <si>
    <t>L'Institut Agro</t>
  </si>
  <si>
    <t>L'Institut Mutualiste Montsouris</t>
  </si>
  <si>
    <t>L'Observatoire de Paris</t>
  </si>
  <si>
    <t>L'Organisation de Coopération et de Développement Economiques</t>
  </si>
  <si>
    <t>Météo France</t>
  </si>
  <si>
    <t>Mines Paris - PSL</t>
  </si>
  <si>
    <t>Museum National d'Histoire Naturelle</t>
  </si>
  <si>
    <t>Nantes Université</t>
  </si>
  <si>
    <t>Normandie Université</t>
  </si>
  <si>
    <t>ONERA Office National d'Etudes et Recherches Aerospatiales</t>
  </si>
  <si>
    <t>Oniris - Ecole Nationale Vétérinaire, Agroalimentaire et de l’Alimentation</t>
  </si>
  <si>
    <t>Orange Labs</t>
  </si>
  <si>
    <t>SAFRAN, France</t>
  </si>
  <si>
    <t>Sanofi S.A.</t>
  </si>
  <si>
    <t>Santé Publique France</t>
  </si>
  <si>
    <t>Sciences Po Paris</t>
  </si>
  <si>
    <t>Servier</t>
  </si>
  <si>
    <t>Sorbonne Université</t>
  </si>
  <si>
    <t>Télécom Paris</t>
  </si>
  <si>
    <t>Télécom SudParis</t>
  </si>
  <si>
    <t>Thales Group</t>
  </si>
  <si>
    <t>TotalEnergies SE</t>
  </si>
  <si>
    <t>Universita di Corsica Pascal Paoli</t>
  </si>
  <si>
    <t>Université Bourgogne Europe</t>
  </si>
  <si>
    <t>Université Catholique de Lille</t>
  </si>
  <si>
    <t>Université Claude Bernard Lyon 1</t>
  </si>
  <si>
    <t>Université Clermont Auvergne</t>
  </si>
  <si>
    <t>Université Côte d'Azur</t>
  </si>
  <si>
    <t>Université d’Angers</t>
  </si>
  <si>
    <t>Université d'Artois</t>
  </si>
  <si>
    <t>Université d'Avignon et des Pays du Vaucluse</t>
  </si>
  <si>
    <t>Université de Bordeaux</t>
  </si>
  <si>
    <t>Université de Bretagne Occidentale</t>
  </si>
  <si>
    <t>Université de Bretagne-Sud</t>
  </si>
  <si>
    <t>Université de Caen Normandie</t>
  </si>
  <si>
    <t>Université de Haute-Alsace</t>
  </si>
  <si>
    <t>Université de La Réunion</t>
  </si>
  <si>
    <t>Université de la Sorbonne Nouvelle Paris III</t>
  </si>
  <si>
    <t>Université de Lille</t>
  </si>
  <si>
    <t>Université de Limoges</t>
  </si>
  <si>
    <t>Université de Lorraine</t>
  </si>
  <si>
    <t>Université de Lyon</t>
  </si>
  <si>
    <t>Université de Montpellier</t>
  </si>
  <si>
    <t>Université de Montpellier Paul-Valéry</t>
  </si>
  <si>
    <t>Université de Pau et des Pays de l'Adour</t>
  </si>
  <si>
    <t>Université de Perpignan Via Domitia</t>
  </si>
  <si>
    <t>Université de Picardie Jules Verne</t>
  </si>
  <si>
    <t>Université de Poitiers</t>
  </si>
  <si>
    <t>Université de Reims Champagne-Ardenne</t>
  </si>
  <si>
    <t>Université de Rennes</t>
  </si>
  <si>
    <t>Université de Rouen Normandie</t>
  </si>
  <si>
    <t>Université de Strasbourg</t>
  </si>
  <si>
    <t>Université de Technologie de Compiègne</t>
  </si>
  <si>
    <t>Université de Technologie de Troyes</t>
  </si>
  <si>
    <t>Université de Toulon</t>
  </si>
  <si>
    <t>Université de Toulouse</t>
  </si>
  <si>
    <t>Université de Tours</t>
  </si>
  <si>
    <t>Université de Versailles Saint-Quentin-en-Yvelines</t>
  </si>
  <si>
    <t>Université des Antilles</t>
  </si>
  <si>
    <t>Université d'Evry Val d'Essonne</t>
  </si>
  <si>
    <t>Université d'Orléans</t>
  </si>
  <si>
    <t>Université du Littoral Côte d‘Opale</t>
  </si>
  <si>
    <t>Université Grenoble Alpes</t>
  </si>
  <si>
    <t>Université Gustave Eiffel</t>
  </si>
  <si>
    <t>Université Jean Monnet Saint Etienne</t>
  </si>
  <si>
    <t>Université Jean Moulin Lyon 3</t>
  </si>
  <si>
    <t>Université Le Havre Normandie</t>
  </si>
  <si>
    <t>Université Lumière Lyon 2</t>
  </si>
  <si>
    <t>Université Marie et Louis Pasteur</t>
  </si>
  <si>
    <t>Université Paris 1 Panthéon-Sorbonne</t>
  </si>
  <si>
    <t>Université Paris 2 Panthéon-Assas</t>
  </si>
  <si>
    <t>Université Paris 8 Vincennes-St Denis</t>
  </si>
  <si>
    <t>Université Paris Cité</t>
  </si>
  <si>
    <t>Université Paris Nanterre</t>
  </si>
  <si>
    <t>Université Paris-Dauphine</t>
  </si>
  <si>
    <t>Université Paris-Est Créteil Val de Marne</t>
  </si>
  <si>
    <t>Université Paris-Saclay</t>
  </si>
  <si>
    <t>Université Polytechnique Hauts-de-France</t>
  </si>
  <si>
    <t>Université PSL</t>
  </si>
  <si>
    <t>Université Rennes 2</t>
  </si>
  <si>
    <t>Université Savoie Mont Blanc</t>
  </si>
  <si>
    <t>Université Sorbonne Paris Cité</t>
  </si>
  <si>
    <t>Université Toulouse - Jean Jaurès</t>
  </si>
  <si>
    <t>Université Toulouse 1 Capitole</t>
  </si>
  <si>
    <t>Université Toulouse III - Paul Sabatier</t>
  </si>
  <si>
    <t>University Sorbonne Paris Nord</t>
  </si>
  <si>
    <t>Valeo</t>
  </si>
  <si>
    <t>I</t>
  </si>
  <si>
    <t>I_up</t>
  </si>
  <si>
    <t>Ratio (p)</t>
  </si>
  <si>
    <t>p_lo</t>
  </si>
  <si>
    <t>p_up</t>
  </si>
  <si>
    <t>I_low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</si>
</sst>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65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1"/>
  <sheetViews>
    <sheetView tabSelected="1" workbookViewId="0">
      <selection activeCell="K9" sqref="K9"/>
    </sheetView>
  </sheetViews>
  <sheetFormatPr baseColWidth="10" defaultColWidth="9.140625" defaultRowHeight="15" x14ac:dyDescent="0.25"/>
  <cols>
    <col min="1" max="1" width="73" style="3" customWidth="1"/>
    <col min="2" max="2" width="24.5703125" style="3" customWidth="1"/>
    <col min="3" max="3" width="16" style="3" customWidth="1"/>
    <col min="4" max="4" width="20.28515625" style="4" customWidth="1"/>
    <col min="5" max="8" width="9.140625" style="4"/>
    <col min="9" max="16384" width="9.140625" style="3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245</v>
      </c>
      <c r="E1" s="2" t="s">
        <v>243</v>
      </c>
      <c r="F1" s="2" t="s">
        <v>246</v>
      </c>
      <c r="G1" s="2" t="s">
        <v>247</v>
      </c>
      <c r="H1" s="6" t="s">
        <v>248</v>
      </c>
      <c r="I1" s="5" t="s">
        <v>244</v>
      </c>
    </row>
    <row r="2" spans="1:9" x14ac:dyDescent="0.25">
      <c r="A2" s="3" t="s">
        <v>3</v>
      </c>
      <c r="B2" s="3">
        <v>103</v>
      </c>
      <c r="C2" s="3">
        <v>8</v>
      </c>
      <c r="D2" s="4">
        <f>IF(C2=0,"NaN",C2/B2)</f>
        <v>7.7669902912621352E-2</v>
      </c>
      <c r="E2" s="4">
        <f>IF(C2=0,"NaN",LN(D2/0.02)/LN(2))</f>
        <v>1.9573556625915061</v>
      </c>
      <c r="F2" s="4">
        <f>IF(C2=0,"NaN",_xlfn.LET(_xlpm.N,B2,_xlpm.X,C2,_xlpm.p,_xlpm.X/_xlpm.N,_xlpm.z,1.96,(_xlpm.p+_xlpm.z^2/(2*_xlpm.N)-_xlpm.z*SQRT(_xlpm.p*(1-_xlpm.p)/_xlpm.N+_xlpm.z^2/(4*_xlpm.N^2)))/(1+_xlpm.z^2/_xlpm.N))
)</f>
        <v>3.9879879368479622E-2</v>
      </c>
      <c r="G2" s="4">
        <f>IF(C2=0,"NaN",_xlfn.LET(_xlpm.N,B2,_xlpm.X,C2,_xlpm.p,_xlpm.X/_xlpm.N,_xlpm.z,1.96,(_xlpm.p+_xlpm.z^2/(2*_xlpm.N)+_xlpm.z*SQRT(_xlpm.p*(1-_xlpm.p)/_xlpm.N+_xlpm.z^2/(4*_xlpm.N^2)))/(1+_xlpm.z^2/_xlpm.N)))</f>
        <v>0.14583055551830607</v>
      </c>
      <c r="H2" s="4">
        <f>IF(C2=0,"NaN",LN(F2/0.02)/LN(2))</f>
        <v>0.99566104577524028</v>
      </c>
      <c r="I2" s="3">
        <f>IF(C2=0,"NaN",LN(G2/0.02)/LN(2))</f>
        <v>2.8662211305754077</v>
      </c>
    </row>
    <row r="3" spans="1:9" x14ac:dyDescent="0.25">
      <c r="A3" s="3" t="s">
        <v>4</v>
      </c>
      <c r="B3" s="3">
        <v>21</v>
      </c>
      <c r="C3" s="3">
        <v>2</v>
      </c>
      <c r="D3" s="4">
        <f t="shared" ref="D3:D66" si="0">IF(C3=0,"NaN",C3/B3)</f>
        <v>9.5238095238095233E-2</v>
      </c>
      <c r="E3" s="4">
        <f t="shared" ref="E3:E66" si="1">IF(C3=0,"NaN",LN(D3/0.02)/LN(2))</f>
        <v>2.2515387669959646</v>
      </c>
      <c r="F3" s="4">
        <f t="shared" ref="F3:F66" si="2">IF(C3=0,"NaN",_xlfn.LET(_xlpm.N,B3,_xlpm.X,C3,_xlpm.p,_xlpm.X/_xlpm.N,_xlpm.z,1.96,(_xlpm.p+_xlpm.z^2/(2*_xlpm.N)-_xlpm.z*SQRT(_xlpm.p*(1-_xlpm.p)/_xlpm.N+_xlpm.z^2/(4*_xlpm.N^2)))/(1+_xlpm.z^2/_xlpm.N))
)</f>
        <v>2.6518208796947225E-2</v>
      </c>
      <c r="G3" s="4">
        <f t="shared" ref="G3:G66" si="3">IF(C3=0,"NaN",_xlfn.LET(_xlpm.N,B3,_xlpm.X,C3,_xlpm.p,_xlpm.X/_xlpm.N,_xlpm.z,1.96,(_xlpm.p+_xlpm.z^2/(2*_xlpm.N)+_xlpm.z*SQRT(_xlpm.p*(1-_xlpm.p)/_xlpm.N+_xlpm.z^2/(4*_xlpm.N^2)))/(1+_xlpm.z^2/_xlpm.N)))</f>
        <v>0.28914583860740672</v>
      </c>
      <c r="H3" s="4">
        <f t="shared" ref="H3:H66" si="4">IF(C3=0,"NaN",LN(F3/0.02)/LN(2))</f>
        <v>0.40698333023803729</v>
      </c>
      <c r="I3" s="3">
        <f t="shared" ref="I3:I66" si="5">IF(C3=0,"NaN",LN(G3/0.02)/LN(2))</f>
        <v>3.853725433862786</v>
      </c>
    </row>
    <row r="4" spans="1:9" x14ac:dyDescent="0.25">
      <c r="A4" s="3" t="s">
        <v>5</v>
      </c>
      <c r="B4" s="3">
        <v>1755</v>
      </c>
      <c r="C4" s="3">
        <v>145</v>
      </c>
      <c r="D4" s="4">
        <f t="shared" si="0"/>
        <v>8.2621082621082614E-2</v>
      </c>
      <c r="E4" s="4">
        <f t="shared" si="1"/>
        <v>2.0465099645977363</v>
      </c>
      <c r="F4" s="4">
        <f t="shared" si="2"/>
        <v>7.0633889870422684E-2</v>
      </c>
      <c r="G4" s="4">
        <f t="shared" si="3"/>
        <v>9.6431524092949542E-2</v>
      </c>
      <c r="H4" s="4">
        <f t="shared" si="4"/>
        <v>1.8203605491741046</v>
      </c>
      <c r="I4" s="3">
        <f t="shared" si="5"/>
        <v>2.2695048499610397</v>
      </c>
    </row>
    <row r="5" spans="1:9" x14ac:dyDescent="0.25">
      <c r="A5" s="3" t="s">
        <v>6</v>
      </c>
      <c r="B5" s="3">
        <v>8</v>
      </c>
      <c r="C5" s="3">
        <v>0</v>
      </c>
      <c r="D5" s="4" t="str">
        <f t="shared" si="0"/>
        <v>NaN</v>
      </c>
      <c r="E5" s="4" t="str">
        <f t="shared" si="1"/>
        <v>NaN</v>
      </c>
      <c r="F5" s="4" t="str">
        <f t="shared" si="2"/>
        <v>NaN</v>
      </c>
      <c r="G5" s="4" t="str">
        <f t="shared" si="3"/>
        <v>NaN</v>
      </c>
      <c r="H5" s="4" t="str">
        <f t="shared" si="4"/>
        <v>NaN</v>
      </c>
      <c r="I5" s="3" t="str">
        <f t="shared" si="5"/>
        <v>NaN</v>
      </c>
    </row>
    <row r="6" spans="1:9" x14ac:dyDescent="0.25">
      <c r="A6" s="3" t="s">
        <v>7</v>
      </c>
      <c r="B6" s="3">
        <v>99</v>
      </c>
      <c r="C6" s="3">
        <v>5</v>
      </c>
      <c r="D6" s="4">
        <f t="shared" si="0"/>
        <v>5.0505050505050504E-2</v>
      </c>
      <c r="E6" s="4">
        <f t="shared" si="1"/>
        <v>1.3364276645824773</v>
      </c>
      <c r="F6" s="4">
        <f t="shared" si="2"/>
        <v>2.1762913556691119E-2</v>
      </c>
      <c r="G6" s="4">
        <f t="shared" si="3"/>
        <v>0.11282853581788105</v>
      </c>
      <c r="H6" s="4">
        <f t="shared" si="4"/>
        <v>0.12187171340852959</v>
      </c>
      <c r="I6" s="3">
        <f t="shared" si="5"/>
        <v>2.4960600852879065</v>
      </c>
    </row>
    <row r="7" spans="1:9" x14ac:dyDescent="0.25">
      <c r="A7" s="3" t="s">
        <v>8</v>
      </c>
      <c r="B7" s="3">
        <v>285</v>
      </c>
      <c r="C7" s="3">
        <v>21</v>
      </c>
      <c r="D7" s="4">
        <f t="shared" si="0"/>
        <v>7.3684210526315783E-2</v>
      </c>
      <c r="E7" s="4">
        <f t="shared" si="1"/>
        <v>1.8813555035013809</v>
      </c>
      <c r="F7" s="4">
        <f t="shared" si="2"/>
        <v>4.8695778309923089E-2</v>
      </c>
      <c r="G7" s="4">
        <f t="shared" si="3"/>
        <v>0.11001266257947788</v>
      </c>
      <c r="H7" s="4">
        <f t="shared" si="4"/>
        <v>1.2837967029987085</v>
      </c>
      <c r="I7" s="3">
        <f t="shared" si="5"/>
        <v>2.4595976839939322</v>
      </c>
    </row>
    <row r="8" spans="1:9" x14ac:dyDescent="0.25">
      <c r="A8" s="3" t="s">
        <v>9</v>
      </c>
      <c r="B8" s="3">
        <v>292</v>
      </c>
      <c r="C8" s="3">
        <v>48</v>
      </c>
      <c r="D8" s="4">
        <f t="shared" si="0"/>
        <v>0.16438356164383561</v>
      </c>
      <c r="E8" s="4">
        <f t="shared" si="1"/>
        <v>3.0389941316158633</v>
      </c>
      <c r="F8" s="4">
        <f t="shared" si="2"/>
        <v>0.12628369106759851</v>
      </c>
      <c r="G8" s="4">
        <f t="shared" si="3"/>
        <v>0.21119961080745897</v>
      </c>
      <c r="H8" s="4">
        <f t="shared" si="4"/>
        <v>2.6585964289047581</v>
      </c>
      <c r="I8" s="3">
        <f t="shared" si="5"/>
        <v>3.4005352710294376</v>
      </c>
    </row>
    <row r="9" spans="1:9" x14ac:dyDescent="0.25">
      <c r="A9" s="3" t="s">
        <v>10</v>
      </c>
      <c r="B9" s="3">
        <v>12</v>
      </c>
      <c r="C9" s="3">
        <v>0</v>
      </c>
      <c r="D9" s="4" t="str">
        <f t="shared" si="0"/>
        <v>NaN</v>
      </c>
      <c r="E9" s="4" t="str">
        <f t="shared" si="1"/>
        <v>NaN</v>
      </c>
      <c r="F9" s="4" t="str">
        <f t="shared" si="2"/>
        <v>NaN</v>
      </c>
      <c r="G9" s="4" t="str">
        <f t="shared" si="3"/>
        <v>NaN</v>
      </c>
      <c r="H9" s="4" t="str">
        <f t="shared" si="4"/>
        <v>NaN</v>
      </c>
      <c r="I9" s="3" t="str">
        <f t="shared" si="5"/>
        <v>NaN</v>
      </c>
    </row>
    <row r="10" spans="1:9" x14ac:dyDescent="0.25">
      <c r="A10" s="3" t="s">
        <v>11</v>
      </c>
      <c r="B10" s="3">
        <v>192</v>
      </c>
      <c r="C10" s="3">
        <v>16</v>
      </c>
      <c r="D10" s="4">
        <f t="shared" si="0"/>
        <v>8.3333333333333329E-2</v>
      </c>
      <c r="E10" s="4">
        <f t="shared" si="1"/>
        <v>2.0588936890535683</v>
      </c>
      <c r="F10" s="4">
        <f t="shared" si="2"/>
        <v>5.1943547112668985E-2</v>
      </c>
      <c r="G10" s="4">
        <f t="shared" si="3"/>
        <v>0.13106966356371436</v>
      </c>
      <c r="H10" s="4">
        <f t="shared" si="4"/>
        <v>1.3769445359093677</v>
      </c>
      <c r="I10" s="3">
        <f t="shared" si="5"/>
        <v>2.712261903324956</v>
      </c>
    </row>
    <row r="11" spans="1:9" x14ac:dyDescent="0.25">
      <c r="A11" s="3" t="s">
        <v>12</v>
      </c>
      <c r="B11" s="3">
        <v>90</v>
      </c>
      <c r="C11" s="3">
        <v>3</v>
      </c>
      <c r="D11" s="4">
        <f t="shared" si="0"/>
        <v>3.3333333333333333E-2</v>
      </c>
      <c r="E11" s="4">
        <f t="shared" si="1"/>
        <v>0.73696559416620611</v>
      </c>
      <c r="F11" s="4">
        <f t="shared" si="2"/>
        <v>1.1400183632439493E-2</v>
      </c>
      <c r="G11" s="4">
        <f t="shared" si="3"/>
        <v>9.3474413561129246E-2</v>
      </c>
      <c r="H11" s="4">
        <f t="shared" si="4"/>
        <v>-0.81094293670857065</v>
      </c>
      <c r="I11" s="3">
        <f t="shared" si="5"/>
        <v>2.2245715149456577</v>
      </c>
    </row>
    <row r="12" spans="1:9" x14ac:dyDescent="0.25">
      <c r="A12" s="3" t="s">
        <v>13</v>
      </c>
      <c r="B12" s="3">
        <v>10</v>
      </c>
      <c r="C12" s="3">
        <v>0</v>
      </c>
      <c r="D12" s="4" t="str">
        <f t="shared" si="0"/>
        <v>NaN</v>
      </c>
      <c r="E12" s="4" t="str">
        <f t="shared" si="1"/>
        <v>NaN</v>
      </c>
      <c r="F12" s="4" t="str">
        <f t="shared" si="2"/>
        <v>NaN</v>
      </c>
      <c r="G12" s="4" t="str">
        <f t="shared" si="3"/>
        <v>NaN</v>
      </c>
      <c r="H12" s="4" t="str">
        <f t="shared" si="4"/>
        <v>NaN</v>
      </c>
      <c r="I12" s="3" t="str">
        <f t="shared" si="5"/>
        <v>NaN</v>
      </c>
    </row>
    <row r="13" spans="1:9" x14ac:dyDescent="0.25">
      <c r="A13" s="3" t="s">
        <v>14</v>
      </c>
      <c r="B13" s="3">
        <v>341</v>
      </c>
      <c r="C13" s="3">
        <v>23</v>
      </c>
      <c r="D13" s="4">
        <f t="shared" si="0"/>
        <v>6.7448680351906154E-2</v>
      </c>
      <c r="E13" s="4">
        <f t="shared" si="1"/>
        <v>1.7537902168075652</v>
      </c>
      <c r="F13" s="4">
        <f t="shared" si="2"/>
        <v>4.5361426485624884E-2</v>
      </c>
      <c r="G13" s="4">
        <f t="shared" si="3"/>
        <v>9.9173339621480505E-2</v>
      </c>
      <c r="H13" s="4">
        <f t="shared" si="4"/>
        <v>1.1814660095785934</v>
      </c>
      <c r="I13" s="3">
        <f t="shared" si="5"/>
        <v>2.309952338703722</v>
      </c>
    </row>
    <row r="14" spans="1:9" x14ac:dyDescent="0.25">
      <c r="A14" s="3" t="s">
        <v>15</v>
      </c>
      <c r="B14" s="3">
        <v>68</v>
      </c>
      <c r="C14" s="3">
        <v>4</v>
      </c>
      <c r="D14" s="4">
        <f t="shared" si="0"/>
        <v>5.8823529411764705E-2</v>
      </c>
      <c r="E14" s="4">
        <f t="shared" si="1"/>
        <v>1.556393348524385</v>
      </c>
      <c r="F14" s="4">
        <f t="shared" si="2"/>
        <v>2.3110391480533059E-2</v>
      </c>
      <c r="G14" s="4">
        <f t="shared" si="3"/>
        <v>0.14171889962656925</v>
      </c>
      <c r="H14" s="4">
        <f t="shared" si="4"/>
        <v>0.2085416986735659</v>
      </c>
      <c r="I14" s="3">
        <f t="shared" si="5"/>
        <v>2.824960263724257</v>
      </c>
    </row>
    <row r="15" spans="1:9" x14ac:dyDescent="0.25">
      <c r="A15" s="3" t="s">
        <v>16</v>
      </c>
      <c r="B15" s="3">
        <v>165</v>
      </c>
      <c r="C15" s="3">
        <v>18</v>
      </c>
      <c r="D15" s="4">
        <f t="shared" si="0"/>
        <v>0.10909090909090909</v>
      </c>
      <c r="E15" s="4">
        <f t="shared" si="1"/>
        <v>2.4474589769712209</v>
      </c>
      <c r="F15" s="4">
        <f t="shared" si="2"/>
        <v>7.0126569786186296E-2</v>
      </c>
      <c r="G15" s="4">
        <f t="shared" si="3"/>
        <v>0.16584371241914697</v>
      </c>
      <c r="H15" s="4">
        <f t="shared" si="4"/>
        <v>1.8099611608714921</v>
      </c>
      <c r="I15" s="3">
        <f t="shared" si="5"/>
        <v>3.0517524116037835</v>
      </c>
    </row>
    <row r="16" spans="1:9" x14ac:dyDescent="0.25">
      <c r="A16" s="3" t="s">
        <v>17</v>
      </c>
      <c r="B16" s="3">
        <v>175</v>
      </c>
      <c r="C16" s="3">
        <v>9</v>
      </c>
      <c r="D16" s="4">
        <f t="shared" si="0"/>
        <v>5.1428571428571428E-2</v>
      </c>
      <c r="E16" s="4">
        <f t="shared" si="1"/>
        <v>1.3625700793847082</v>
      </c>
      <c r="F16" s="4">
        <f t="shared" si="2"/>
        <v>2.7289263717046597E-2</v>
      </c>
      <c r="G16" s="4">
        <f t="shared" si="3"/>
        <v>9.48389212242646E-2</v>
      </c>
      <c r="H16" s="4">
        <f t="shared" si="4"/>
        <v>0.44833347024066078</v>
      </c>
      <c r="I16" s="3">
        <f t="shared" si="5"/>
        <v>2.2454792525156693</v>
      </c>
    </row>
    <row r="17" spans="1:9" x14ac:dyDescent="0.25">
      <c r="A17" s="3" t="s">
        <v>18</v>
      </c>
      <c r="B17" s="3">
        <v>190</v>
      </c>
      <c r="C17" s="3">
        <v>13</v>
      </c>
      <c r="D17" s="4">
        <f t="shared" si="0"/>
        <v>6.8421052631578952E-2</v>
      </c>
      <c r="E17" s="4">
        <f t="shared" si="1"/>
        <v>1.7744402995848689</v>
      </c>
      <c r="F17" s="4">
        <f t="shared" si="2"/>
        <v>4.041788620673422E-2</v>
      </c>
      <c r="G17" s="4">
        <f t="shared" si="3"/>
        <v>0.1135304922631092</v>
      </c>
      <c r="H17" s="4">
        <f t="shared" si="4"/>
        <v>1.0149938729595027</v>
      </c>
      <c r="I17" s="3">
        <f t="shared" si="5"/>
        <v>2.5050079265765981</v>
      </c>
    </row>
    <row r="18" spans="1:9" x14ac:dyDescent="0.25">
      <c r="A18" s="3" t="s">
        <v>19</v>
      </c>
      <c r="B18" s="3">
        <v>126</v>
      </c>
      <c r="C18" s="3">
        <v>15</v>
      </c>
      <c r="D18" s="4">
        <f t="shared" si="0"/>
        <v>0.11904761904761904</v>
      </c>
      <c r="E18" s="4">
        <f t="shared" si="1"/>
        <v>2.5734668618833267</v>
      </c>
      <c r="F18" s="4">
        <f t="shared" si="2"/>
        <v>7.3486004278914163E-2</v>
      </c>
      <c r="G18" s="4">
        <f t="shared" si="3"/>
        <v>0.18715157258397111</v>
      </c>
      <c r="H18" s="4">
        <f t="shared" si="4"/>
        <v>1.8774695087236142</v>
      </c>
      <c r="I18" s="3">
        <f t="shared" si="5"/>
        <v>3.2261352657518181</v>
      </c>
    </row>
    <row r="19" spans="1:9" x14ac:dyDescent="0.25">
      <c r="A19" s="3" t="s">
        <v>20</v>
      </c>
      <c r="B19" s="3">
        <v>13</v>
      </c>
      <c r="C19" s="3">
        <v>0</v>
      </c>
      <c r="D19" s="4" t="str">
        <f t="shared" si="0"/>
        <v>NaN</v>
      </c>
      <c r="E19" s="4" t="str">
        <f t="shared" si="1"/>
        <v>NaN</v>
      </c>
      <c r="F19" s="4" t="str">
        <f t="shared" si="2"/>
        <v>NaN</v>
      </c>
      <c r="G19" s="4" t="str">
        <f t="shared" si="3"/>
        <v>NaN</v>
      </c>
      <c r="H19" s="4" t="str">
        <f t="shared" si="4"/>
        <v>NaN</v>
      </c>
      <c r="I19" s="3" t="str">
        <f t="shared" si="5"/>
        <v>NaN</v>
      </c>
    </row>
    <row r="20" spans="1:9" x14ac:dyDescent="0.25">
      <c r="A20" s="3" t="s">
        <v>21</v>
      </c>
      <c r="B20" s="3">
        <v>33</v>
      </c>
      <c r="C20" s="3">
        <v>4</v>
      </c>
      <c r="D20" s="4">
        <f t="shared" si="0"/>
        <v>0.12121212121212122</v>
      </c>
      <c r="E20" s="4">
        <f t="shared" si="1"/>
        <v>2.5994620704162714</v>
      </c>
      <c r="F20" s="4">
        <f t="shared" si="2"/>
        <v>4.8160832675842299E-2</v>
      </c>
      <c r="G20" s="4">
        <f t="shared" si="3"/>
        <v>0.27325843250265158</v>
      </c>
      <c r="H20" s="4">
        <f t="shared" si="4"/>
        <v>1.2678603357629679</v>
      </c>
      <c r="I20" s="3">
        <f t="shared" si="5"/>
        <v>3.772194111706948</v>
      </c>
    </row>
    <row r="21" spans="1:9" x14ac:dyDescent="0.25">
      <c r="A21" s="3" t="s">
        <v>22</v>
      </c>
      <c r="B21" s="3">
        <v>125</v>
      </c>
      <c r="C21" s="3">
        <v>4</v>
      </c>
      <c r="D21" s="4">
        <f t="shared" si="0"/>
        <v>3.2000000000000001E-2</v>
      </c>
      <c r="E21" s="4">
        <f t="shared" si="1"/>
        <v>0.67807190511263782</v>
      </c>
      <c r="F21" s="4">
        <f t="shared" si="2"/>
        <v>1.2512936695839404E-2</v>
      </c>
      <c r="G21" s="4">
        <f t="shared" si="3"/>
        <v>7.9395266865743205E-2</v>
      </c>
      <c r="H21" s="4">
        <f t="shared" si="4"/>
        <v>-0.67657958065476975</v>
      </c>
      <c r="I21" s="3">
        <f t="shared" si="5"/>
        <v>1.9890530039317713</v>
      </c>
    </row>
    <row r="22" spans="1:9" x14ac:dyDescent="0.25">
      <c r="A22" s="3" t="s">
        <v>23</v>
      </c>
      <c r="B22" s="3">
        <v>112</v>
      </c>
      <c r="C22" s="3">
        <v>7</v>
      </c>
      <c r="D22" s="4">
        <f t="shared" si="0"/>
        <v>6.25E-2</v>
      </c>
      <c r="E22" s="4">
        <f t="shared" si="1"/>
        <v>1.6438561897747248</v>
      </c>
      <c r="F22" s="4">
        <f t="shared" si="2"/>
        <v>3.0601532803567907E-2</v>
      </c>
      <c r="G22" s="4">
        <f t="shared" si="3"/>
        <v>0.12341567690348035</v>
      </c>
      <c r="H22" s="4">
        <f t="shared" si="4"/>
        <v>0.61360391803957492</v>
      </c>
      <c r="I22" s="3">
        <f t="shared" si="5"/>
        <v>2.6254537596695284</v>
      </c>
    </row>
    <row r="23" spans="1:9" x14ac:dyDescent="0.25">
      <c r="A23" s="3" t="s">
        <v>24</v>
      </c>
      <c r="B23" s="3">
        <v>339</v>
      </c>
      <c r="C23" s="3">
        <v>29</v>
      </c>
      <c r="D23" s="4">
        <f t="shared" si="0"/>
        <v>8.5545722713864306E-2</v>
      </c>
      <c r="E23" s="4">
        <f t="shared" si="1"/>
        <v>2.0966957217659528</v>
      </c>
      <c r="F23" s="4">
        <f t="shared" si="2"/>
        <v>6.0221079276709152E-2</v>
      </c>
      <c r="G23" s="4">
        <f t="shared" si="3"/>
        <v>0.12015843126110191</v>
      </c>
      <c r="H23" s="4">
        <f t="shared" si="4"/>
        <v>1.5902685641436791</v>
      </c>
      <c r="I23" s="3">
        <f t="shared" si="5"/>
        <v>2.5868659777439755</v>
      </c>
    </row>
    <row r="24" spans="1:9" x14ac:dyDescent="0.25">
      <c r="A24" s="3" t="s">
        <v>25</v>
      </c>
      <c r="B24" s="3">
        <v>103</v>
      </c>
      <c r="C24" s="3">
        <v>6</v>
      </c>
      <c r="D24" s="4">
        <f t="shared" si="0"/>
        <v>5.8252427184466021E-2</v>
      </c>
      <c r="E24" s="4">
        <f t="shared" si="1"/>
        <v>1.5423181633126626</v>
      </c>
      <c r="F24" s="4">
        <f t="shared" si="2"/>
        <v>2.696812975798207E-2</v>
      </c>
      <c r="G24" s="4">
        <f t="shared" si="3"/>
        <v>0.12130370443394317</v>
      </c>
      <c r="H24" s="4">
        <f t="shared" si="4"/>
        <v>0.43125547402282399</v>
      </c>
      <c r="I24" s="3">
        <f t="shared" si="5"/>
        <v>2.6005517037701362</v>
      </c>
    </row>
    <row r="25" spans="1:9" x14ac:dyDescent="0.25">
      <c r="A25" s="3" t="s">
        <v>26</v>
      </c>
      <c r="B25" s="3">
        <v>108</v>
      </c>
      <c r="C25" s="3">
        <v>9</v>
      </c>
      <c r="D25" s="4">
        <f t="shared" si="0"/>
        <v>8.3333333333333329E-2</v>
      </c>
      <c r="E25" s="4">
        <f t="shared" si="1"/>
        <v>2.0588936890535683</v>
      </c>
      <c r="F25" s="4">
        <f t="shared" si="2"/>
        <v>4.4459900413239356E-2</v>
      </c>
      <c r="G25" s="4">
        <f t="shared" si="3"/>
        <v>0.15083058184023337</v>
      </c>
      <c r="H25" s="4">
        <f t="shared" si="4"/>
        <v>1.1525047168424867</v>
      </c>
      <c r="I25" s="3">
        <f t="shared" si="5"/>
        <v>2.9148570685610076</v>
      </c>
    </row>
    <row r="26" spans="1:9" x14ac:dyDescent="0.25">
      <c r="A26" s="3" t="s">
        <v>27</v>
      </c>
      <c r="B26" s="3">
        <v>154</v>
      </c>
      <c r="C26" s="3">
        <v>16</v>
      </c>
      <c r="D26" s="4">
        <f t="shared" si="0"/>
        <v>0.1038961038961039</v>
      </c>
      <c r="E26" s="4">
        <f t="shared" si="1"/>
        <v>2.3770696490798233</v>
      </c>
      <c r="F26" s="4">
        <f t="shared" si="2"/>
        <v>6.4968319203870431E-2</v>
      </c>
      <c r="G26" s="4">
        <f t="shared" si="3"/>
        <v>0.1621048985029952</v>
      </c>
      <c r="H26" s="4">
        <f t="shared" si="4"/>
        <v>1.6997363816872122</v>
      </c>
      <c r="I26" s="3">
        <f t="shared" si="5"/>
        <v>3.0188557819130919</v>
      </c>
    </row>
    <row r="27" spans="1:9" x14ac:dyDescent="0.25">
      <c r="A27" s="3" t="s">
        <v>28</v>
      </c>
      <c r="B27" s="3">
        <v>206</v>
      </c>
      <c r="C27" s="3">
        <v>17</v>
      </c>
      <c r="D27" s="4">
        <f t="shared" si="0"/>
        <v>8.2524271844660199E-2</v>
      </c>
      <c r="E27" s="4">
        <f t="shared" si="1"/>
        <v>2.0448185038418458</v>
      </c>
      <c r="F27" s="4">
        <f t="shared" si="2"/>
        <v>5.216022493610626E-2</v>
      </c>
      <c r="G27" s="4">
        <f t="shared" si="3"/>
        <v>0.12817389375151336</v>
      </c>
      <c r="H27" s="4">
        <f t="shared" si="4"/>
        <v>1.3829500910702426</v>
      </c>
      <c r="I27" s="3">
        <f t="shared" si="5"/>
        <v>2.6800305410049154</v>
      </c>
    </row>
    <row r="28" spans="1:9" x14ac:dyDescent="0.25">
      <c r="A28" s="3" t="s">
        <v>29</v>
      </c>
      <c r="B28" s="3">
        <v>184</v>
      </c>
      <c r="C28" s="3">
        <v>16</v>
      </c>
      <c r="D28" s="4">
        <f t="shared" si="0"/>
        <v>8.6956521739130432E-2</v>
      </c>
      <c r="E28" s="4">
        <f t="shared" si="1"/>
        <v>2.1202942337177118</v>
      </c>
      <c r="F28" s="4">
        <f t="shared" si="2"/>
        <v>5.4232353757765986E-2</v>
      </c>
      <c r="G28" s="4">
        <f t="shared" si="3"/>
        <v>0.13657522028334096</v>
      </c>
      <c r="H28" s="4">
        <f t="shared" si="4"/>
        <v>1.4391537866349804</v>
      </c>
      <c r="I28" s="3">
        <f t="shared" si="5"/>
        <v>2.7716238448603177</v>
      </c>
    </row>
    <row r="29" spans="1:9" x14ac:dyDescent="0.25">
      <c r="A29" s="3" t="s">
        <v>30</v>
      </c>
      <c r="B29" s="3">
        <v>65</v>
      </c>
      <c r="C29" s="3">
        <v>5</v>
      </c>
      <c r="D29" s="4">
        <f t="shared" si="0"/>
        <v>7.6923076923076927E-2</v>
      </c>
      <c r="E29" s="4">
        <f t="shared" si="1"/>
        <v>1.9434164716336328</v>
      </c>
      <c r="F29" s="4">
        <f t="shared" si="2"/>
        <v>3.3303010458851381E-2</v>
      </c>
      <c r="G29" s="4">
        <f t="shared" si="3"/>
        <v>0.16776146218559615</v>
      </c>
      <c r="H29" s="4">
        <f t="shared" si="4"/>
        <v>0.73565259704869945</v>
      </c>
      <c r="I29" s="3">
        <f t="shared" si="5"/>
        <v>3.0683394358188365</v>
      </c>
    </row>
    <row r="30" spans="1:9" x14ac:dyDescent="0.25">
      <c r="A30" s="3" t="s">
        <v>31</v>
      </c>
      <c r="B30" s="3">
        <v>104</v>
      </c>
      <c r="C30" s="3">
        <v>4</v>
      </c>
      <c r="D30" s="4">
        <f t="shared" si="0"/>
        <v>3.8461538461538464E-2</v>
      </c>
      <c r="E30" s="4">
        <f t="shared" si="1"/>
        <v>0.94341647163363263</v>
      </c>
      <c r="F30" s="4">
        <f t="shared" si="2"/>
        <v>1.5056569723581407E-2</v>
      </c>
      <c r="G30" s="4">
        <f t="shared" si="3"/>
        <v>9.4748922776529854E-2</v>
      </c>
      <c r="H30" s="4">
        <f t="shared" si="4"/>
        <v>-0.40960687583826205</v>
      </c>
      <c r="I30" s="3">
        <f t="shared" si="5"/>
        <v>2.2441095410273415</v>
      </c>
    </row>
    <row r="31" spans="1:9" x14ac:dyDescent="0.25">
      <c r="A31" s="3" t="s">
        <v>32</v>
      </c>
      <c r="B31" s="3">
        <v>127</v>
      </c>
      <c r="C31" s="3">
        <v>9</v>
      </c>
      <c r="D31" s="4">
        <f t="shared" si="0"/>
        <v>7.0866141732283464E-2</v>
      </c>
      <c r="E31" s="4">
        <f t="shared" si="1"/>
        <v>1.8250965044448713</v>
      </c>
      <c r="F31" s="4">
        <f t="shared" si="2"/>
        <v>3.7727631027679204E-2</v>
      </c>
      <c r="G31" s="4">
        <f t="shared" si="3"/>
        <v>0.12920398705097466</v>
      </c>
      <c r="H31" s="4">
        <f t="shared" si="4"/>
        <v>0.91562151409134951</v>
      </c>
      <c r="I31" s="3">
        <f t="shared" si="5"/>
        <v>2.6915786851197976</v>
      </c>
    </row>
    <row r="32" spans="1:9" x14ac:dyDescent="0.25">
      <c r="A32" s="3" t="s">
        <v>33</v>
      </c>
      <c r="B32" s="3">
        <v>113</v>
      </c>
      <c r="C32" s="3">
        <v>8</v>
      </c>
      <c r="D32" s="4">
        <f t="shared" si="0"/>
        <v>7.0796460176991149E-2</v>
      </c>
      <c r="E32" s="4">
        <f t="shared" si="1"/>
        <v>1.823677227359537</v>
      </c>
      <c r="F32" s="4">
        <f t="shared" si="2"/>
        <v>3.6307273195638708E-2</v>
      </c>
      <c r="G32" s="4">
        <f t="shared" si="3"/>
        <v>0.13350895664031012</v>
      </c>
      <c r="H32" s="4">
        <f t="shared" si="4"/>
        <v>0.86025858271723143</v>
      </c>
      <c r="I32" s="3">
        <f t="shared" si="5"/>
        <v>2.7388646253178948</v>
      </c>
    </row>
    <row r="33" spans="1:9" x14ac:dyDescent="0.25">
      <c r="A33" s="3" t="s">
        <v>34</v>
      </c>
      <c r="B33" s="3">
        <v>50</v>
      </c>
      <c r="C33" s="3">
        <v>8</v>
      </c>
      <c r="D33" s="4">
        <f t="shared" si="0"/>
        <v>0.16</v>
      </c>
      <c r="E33" s="4">
        <f t="shared" si="1"/>
        <v>3</v>
      </c>
      <c r="F33" s="4">
        <f t="shared" si="2"/>
        <v>8.3373213620876963E-2</v>
      </c>
      <c r="G33" s="4">
        <f t="shared" si="3"/>
        <v>0.28514480961765981</v>
      </c>
      <c r="H33" s="4">
        <f t="shared" si="4"/>
        <v>2.0595839450179221</v>
      </c>
      <c r="I33" s="3">
        <f t="shared" si="5"/>
        <v>3.8336228670057713</v>
      </c>
    </row>
    <row r="34" spans="1:9" x14ac:dyDescent="0.25">
      <c r="A34" s="3" t="s">
        <v>35</v>
      </c>
      <c r="B34" s="3">
        <v>57</v>
      </c>
      <c r="C34" s="3">
        <v>6</v>
      </c>
      <c r="D34" s="4">
        <f t="shared" si="0"/>
        <v>0.10526315789473684</v>
      </c>
      <c r="E34" s="4">
        <f t="shared" si="1"/>
        <v>2.3959286763311392</v>
      </c>
      <c r="F34" s="4">
        <f t="shared" si="2"/>
        <v>4.9143989539126909E-2</v>
      </c>
      <c r="G34" s="4">
        <f t="shared" si="3"/>
        <v>0.21123049107939723</v>
      </c>
      <c r="H34" s="4">
        <f t="shared" si="4"/>
        <v>1.2970149813199872</v>
      </c>
      <c r="I34" s="3">
        <f t="shared" si="5"/>
        <v>3.4007461973581581</v>
      </c>
    </row>
    <row r="35" spans="1:9" x14ac:dyDescent="0.25">
      <c r="A35" s="3" t="s">
        <v>36</v>
      </c>
      <c r="B35" s="3">
        <v>74</v>
      </c>
      <c r="C35" s="3">
        <v>5</v>
      </c>
      <c r="D35" s="4">
        <f t="shared" si="0"/>
        <v>6.7567567567567571E-2</v>
      </c>
      <c r="E35" s="4">
        <f t="shared" si="1"/>
        <v>1.7563309190331373</v>
      </c>
      <c r="F35" s="4">
        <f t="shared" si="2"/>
        <v>2.9203655548562042E-2</v>
      </c>
      <c r="G35" s="4">
        <f t="shared" si="3"/>
        <v>0.14861386104924681</v>
      </c>
      <c r="H35" s="4">
        <f t="shared" si="4"/>
        <v>0.54614896882082531</v>
      </c>
      <c r="I35" s="3">
        <f t="shared" si="5"/>
        <v>2.8934967755984577</v>
      </c>
    </row>
    <row r="36" spans="1:9" x14ac:dyDescent="0.25">
      <c r="A36" s="3" t="s">
        <v>37</v>
      </c>
      <c r="B36" s="3">
        <v>90</v>
      </c>
      <c r="C36" s="3">
        <v>41</v>
      </c>
      <c r="D36" s="4">
        <f t="shared" si="0"/>
        <v>0.45555555555555555</v>
      </c>
      <c r="E36" s="4">
        <f t="shared" si="1"/>
        <v>4.5095550980631343</v>
      </c>
      <c r="F36" s="4">
        <f t="shared" si="2"/>
        <v>0.35659445656589756</v>
      </c>
      <c r="G36" s="4">
        <f t="shared" si="3"/>
        <v>0.55815550507158507</v>
      </c>
      <c r="H36" s="4">
        <f t="shared" si="4"/>
        <v>4.1562123706291514</v>
      </c>
      <c r="I36" s="3">
        <f t="shared" si="5"/>
        <v>4.8025952154017908</v>
      </c>
    </row>
    <row r="37" spans="1:9" x14ac:dyDescent="0.25">
      <c r="A37" s="3" t="s">
        <v>38</v>
      </c>
      <c r="B37" s="3">
        <v>11</v>
      </c>
      <c r="C37" s="3">
        <v>0</v>
      </c>
      <c r="D37" s="4" t="str">
        <f t="shared" si="0"/>
        <v>NaN</v>
      </c>
      <c r="E37" s="4" t="str">
        <f t="shared" si="1"/>
        <v>NaN</v>
      </c>
      <c r="F37" s="4" t="str">
        <f t="shared" si="2"/>
        <v>NaN</v>
      </c>
      <c r="G37" s="4" t="str">
        <f t="shared" si="3"/>
        <v>NaN</v>
      </c>
      <c r="H37" s="4" t="str">
        <f t="shared" si="4"/>
        <v>NaN</v>
      </c>
      <c r="I37" s="3" t="str">
        <f t="shared" si="5"/>
        <v>NaN</v>
      </c>
    </row>
    <row r="38" spans="1:9" x14ac:dyDescent="0.25">
      <c r="A38" s="3" t="s">
        <v>39</v>
      </c>
      <c r="B38" s="3">
        <v>50</v>
      </c>
      <c r="C38" s="3">
        <v>6</v>
      </c>
      <c r="D38" s="4">
        <f t="shared" si="0"/>
        <v>0.12</v>
      </c>
      <c r="E38" s="4">
        <f t="shared" si="1"/>
        <v>2.5849625007211561</v>
      </c>
      <c r="F38" s="4">
        <f t="shared" si="2"/>
        <v>5.6175237106246452E-2</v>
      </c>
      <c r="G38" s="4">
        <f t="shared" si="3"/>
        <v>0.23805078886623582</v>
      </c>
      <c r="H38" s="4">
        <f t="shared" si="4"/>
        <v>1.4899343087916355</v>
      </c>
      <c r="I38" s="3">
        <f t="shared" si="5"/>
        <v>3.5731975046743694</v>
      </c>
    </row>
    <row r="39" spans="1:9" x14ac:dyDescent="0.25">
      <c r="A39" s="3" t="s">
        <v>40</v>
      </c>
      <c r="B39" s="3">
        <v>125</v>
      </c>
      <c r="C39" s="3">
        <v>3</v>
      </c>
      <c r="D39" s="4">
        <f t="shared" si="0"/>
        <v>2.4E-2</v>
      </c>
      <c r="E39" s="4">
        <f t="shared" si="1"/>
        <v>0.26303440583379378</v>
      </c>
      <c r="F39" s="4">
        <f t="shared" si="2"/>
        <v>8.1951080734341767E-3</v>
      </c>
      <c r="G39" s="4">
        <f t="shared" si="3"/>
        <v>6.8190158796893413E-2</v>
      </c>
      <c r="H39" s="4">
        <f t="shared" si="4"/>
        <v>-1.2871651198177287</v>
      </c>
      <c r="I39" s="3">
        <f t="shared" si="5"/>
        <v>1.7695635445370415</v>
      </c>
    </row>
    <row r="40" spans="1:9" x14ac:dyDescent="0.25">
      <c r="A40" s="3" t="s">
        <v>41</v>
      </c>
      <c r="B40" s="3">
        <v>145</v>
      </c>
      <c r="C40" s="3">
        <v>8</v>
      </c>
      <c r="D40" s="4">
        <f t="shared" si="0"/>
        <v>5.5172413793103448E-2</v>
      </c>
      <c r="E40" s="4">
        <f t="shared" si="1"/>
        <v>1.4639470997597901</v>
      </c>
      <c r="F40" s="4">
        <f t="shared" si="2"/>
        <v>2.8218435934205737E-2</v>
      </c>
      <c r="G40" s="4">
        <f t="shared" si="3"/>
        <v>0.1050883815146795</v>
      </c>
      <c r="H40" s="4">
        <f t="shared" si="4"/>
        <v>0.49663802576300714</v>
      </c>
      <c r="I40" s="3">
        <f t="shared" si="5"/>
        <v>2.3935312698229145</v>
      </c>
    </row>
    <row r="41" spans="1:9" x14ac:dyDescent="0.25">
      <c r="A41" s="3" t="s">
        <v>42</v>
      </c>
      <c r="B41" s="3">
        <v>95</v>
      </c>
      <c r="C41" s="3">
        <v>3</v>
      </c>
      <c r="D41" s="4">
        <f t="shared" si="0"/>
        <v>3.1578947368421054E-2</v>
      </c>
      <c r="E41" s="4">
        <f t="shared" si="1"/>
        <v>0.65896308216493304</v>
      </c>
      <c r="F41" s="4">
        <f t="shared" si="2"/>
        <v>1.0796943829702529E-2</v>
      </c>
      <c r="G41" s="4">
        <f t="shared" si="3"/>
        <v>8.8772468239709551E-2</v>
      </c>
      <c r="H41" s="4">
        <f t="shared" si="4"/>
        <v>-0.88937699739772169</v>
      </c>
      <c r="I41" s="3">
        <f t="shared" si="5"/>
        <v>2.1501123106661275</v>
      </c>
    </row>
    <row r="42" spans="1:9" x14ac:dyDescent="0.25">
      <c r="A42" s="3" t="s">
        <v>43</v>
      </c>
      <c r="B42" s="3">
        <v>117</v>
      </c>
      <c r="C42" s="3">
        <v>7</v>
      </c>
      <c r="D42" s="4">
        <f t="shared" si="0"/>
        <v>5.9829059829059832E-2</v>
      </c>
      <c r="E42" s="4">
        <f t="shared" si="1"/>
        <v>1.5808463922489244</v>
      </c>
      <c r="F42" s="4">
        <f t="shared" si="2"/>
        <v>2.9280101993339015E-2</v>
      </c>
      <c r="G42" s="4">
        <f t="shared" si="3"/>
        <v>0.1183644177746879</v>
      </c>
      <c r="H42" s="4">
        <f t="shared" si="4"/>
        <v>0.54992057906690484</v>
      </c>
      <c r="I42" s="3">
        <f t="shared" si="5"/>
        <v>2.565163543969244</v>
      </c>
    </row>
    <row r="43" spans="1:9" x14ac:dyDescent="0.25">
      <c r="A43" s="3" t="s">
        <v>44</v>
      </c>
      <c r="B43" s="3">
        <v>518</v>
      </c>
      <c r="C43" s="3">
        <v>54</v>
      </c>
      <c r="D43" s="4">
        <f t="shared" si="0"/>
        <v>0.10424710424710425</v>
      </c>
      <c r="E43" s="4">
        <f t="shared" si="1"/>
        <v>2.3819354042516392</v>
      </c>
      <c r="F43" s="4">
        <f t="shared" si="2"/>
        <v>8.0780317493429551E-2</v>
      </c>
      <c r="G43" s="4">
        <f t="shared" si="3"/>
        <v>0.13354065653393815</v>
      </c>
      <c r="H43" s="4">
        <f t="shared" si="4"/>
        <v>2.0140038163219627</v>
      </c>
      <c r="I43" s="3">
        <f t="shared" si="5"/>
        <v>2.7392071330564756</v>
      </c>
    </row>
    <row r="44" spans="1:9" x14ac:dyDescent="0.25">
      <c r="A44" s="3" t="s">
        <v>45</v>
      </c>
      <c r="B44" s="3">
        <v>137</v>
      </c>
      <c r="C44" s="3">
        <v>8</v>
      </c>
      <c r="D44" s="4">
        <f t="shared" si="0"/>
        <v>5.8394160583941604E-2</v>
      </c>
      <c r="E44" s="4">
        <f t="shared" si="1"/>
        <v>1.545824106814198</v>
      </c>
      <c r="F44" s="4">
        <f t="shared" si="2"/>
        <v>2.988277344548575E-2</v>
      </c>
      <c r="G44" s="4">
        <f t="shared" si="3"/>
        <v>0.11099605780891636</v>
      </c>
      <c r="H44" s="4">
        <f t="shared" si="4"/>
        <v>0.5793140520884511</v>
      </c>
      <c r="I44" s="3">
        <f t="shared" si="5"/>
        <v>2.4724365328994704</v>
      </c>
    </row>
    <row r="45" spans="1:9" x14ac:dyDescent="0.25">
      <c r="A45" s="3" t="s">
        <v>46</v>
      </c>
      <c r="B45" s="3">
        <v>329</v>
      </c>
      <c r="C45" s="3">
        <v>31</v>
      </c>
      <c r="D45" s="4">
        <f t="shared" si="0"/>
        <v>9.4224924012158054E-2</v>
      </c>
      <c r="E45" s="4">
        <f t="shared" si="1"/>
        <v>2.2361087264263584</v>
      </c>
      <c r="F45" s="4">
        <f t="shared" si="2"/>
        <v>6.7175209975197145E-2</v>
      </c>
      <c r="G45" s="4">
        <f t="shared" si="3"/>
        <v>0.13064140910126443</v>
      </c>
      <c r="H45" s="4">
        <f t="shared" si="4"/>
        <v>1.7479289257985779</v>
      </c>
      <c r="I45" s="3">
        <f t="shared" si="5"/>
        <v>2.7075403519256547</v>
      </c>
    </row>
    <row r="46" spans="1:9" x14ac:dyDescent="0.25">
      <c r="A46" s="3" t="s">
        <v>47</v>
      </c>
      <c r="B46" s="3">
        <v>417</v>
      </c>
      <c r="C46" s="3">
        <v>35</v>
      </c>
      <c r="D46" s="4">
        <f t="shared" si="0"/>
        <v>8.3932853717026384E-2</v>
      </c>
      <c r="E46" s="4">
        <f t="shared" si="1"/>
        <v>2.0692356332750279</v>
      </c>
      <c r="F46" s="4">
        <f t="shared" si="2"/>
        <v>6.096730171081563E-2</v>
      </c>
      <c r="G46" s="4">
        <f t="shared" si="3"/>
        <v>0.1144944397139865</v>
      </c>
      <c r="H46" s="4">
        <f t="shared" si="4"/>
        <v>1.6080356966493299</v>
      </c>
      <c r="I46" s="3">
        <f t="shared" si="5"/>
        <v>2.5172056321454859</v>
      </c>
    </row>
    <row r="47" spans="1:9" x14ac:dyDescent="0.25">
      <c r="A47" s="3" t="s">
        <v>48</v>
      </c>
      <c r="B47" s="3">
        <v>147</v>
      </c>
      <c r="C47" s="3">
        <v>6</v>
      </c>
      <c r="D47" s="4">
        <f t="shared" si="0"/>
        <v>4.0816326530612242E-2</v>
      </c>
      <c r="E47" s="4">
        <f t="shared" si="1"/>
        <v>1.0291463456595162</v>
      </c>
      <c r="F47" s="4">
        <f t="shared" si="2"/>
        <v>1.8838304552590262E-2</v>
      </c>
      <c r="G47" s="4">
        <f t="shared" si="3"/>
        <v>8.6183121897407594E-2</v>
      </c>
      <c r="H47" s="4">
        <f t="shared" si="4"/>
        <v>-8.6330871760419911E-2</v>
      </c>
      <c r="I47" s="3">
        <f t="shared" si="5"/>
        <v>2.107405359580016</v>
      </c>
    </row>
    <row r="48" spans="1:9" x14ac:dyDescent="0.25">
      <c r="A48" s="3" t="s">
        <v>49</v>
      </c>
      <c r="B48" s="3">
        <v>31</v>
      </c>
      <c r="C48" s="3">
        <v>3</v>
      </c>
      <c r="D48" s="4">
        <f t="shared" si="0"/>
        <v>9.6774193548387094E-2</v>
      </c>
      <c r="E48" s="4">
        <f t="shared" si="1"/>
        <v>2.2746223801090055</v>
      </c>
      <c r="F48" s="4">
        <f t="shared" si="2"/>
        <v>3.3464036094643976E-2</v>
      </c>
      <c r="G48" s="4">
        <f t="shared" si="3"/>
        <v>0.24900289998177039</v>
      </c>
      <c r="H48" s="4">
        <f t="shared" si="4"/>
        <v>0.74261145920072313</v>
      </c>
      <c r="I48" s="3">
        <f t="shared" si="5"/>
        <v>3.6380906394496169</v>
      </c>
    </row>
    <row r="49" spans="1:9" x14ac:dyDescent="0.25">
      <c r="A49" s="3" t="s">
        <v>50</v>
      </c>
      <c r="B49" s="3">
        <v>303</v>
      </c>
      <c r="C49" s="3">
        <v>28</v>
      </c>
      <c r="D49" s="4">
        <f t="shared" si="0"/>
        <v>9.2409240924092403E-2</v>
      </c>
      <c r="E49" s="4">
        <f t="shared" si="1"/>
        <v>2.2080371283593778</v>
      </c>
      <c r="F49" s="4">
        <f t="shared" si="2"/>
        <v>6.4708631283017889E-2</v>
      </c>
      <c r="G49" s="4">
        <f t="shared" si="3"/>
        <v>0.13031577218769794</v>
      </c>
      <c r="H49" s="4">
        <f t="shared" si="4"/>
        <v>1.6939581616564554</v>
      </c>
      <c r="I49" s="3">
        <f t="shared" si="5"/>
        <v>2.7039397995142704</v>
      </c>
    </row>
    <row r="50" spans="1:9" x14ac:dyDescent="0.25">
      <c r="A50" s="3" t="s">
        <v>51</v>
      </c>
      <c r="B50" s="3">
        <v>450</v>
      </c>
      <c r="C50" s="3">
        <v>31</v>
      </c>
      <c r="D50" s="4">
        <f t="shared" si="0"/>
        <v>6.8888888888888888E-2</v>
      </c>
      <c r="E50" s="4">
        <f t="shared" si="1"/>
        <v>1.7842713089445628</v>
      </c>
      <c r="F50" s="4">
        <f t="shared" si="2"/>
        <v>4.8952813175336077E-2</v>
      </c>
      <c r="G50" s="4">
        <f t="shared" si="3"/>
        <v>9.6123354368582353E-2</v>
      </c>
      <c r="H50" s="4">
        <f t="shared" si="4"/>
        <v>1.2913917696857147</v>
      </c>
      <c r="I50" s="3">
        <f t="shared" si="5"/>
        <v>2.2648869943529251</v>
      </c>
    </row>
    <row r="51" spans="1:9" x14ac:dyDescent="0.25">
      <c r="A51" s="3" t="s">
        <v>52</v>
      </c>
      <c r="B51" s="3">
        <v>1166</v>
      </c>
      <c r="C51" s="3">
        <v>121</v>
      </c>
      <c r="D51" s="4">
        <f t="shared" si="0"/>
        <v>0.10377358490566038</v>
      </c>
      <c r="E51" s="4">
        <f t="shared" si="1"/>
        <v>2.3753673538488229</v>
      </c>
      <c r="F51" s="4">
        <f t="shared" si="2"/>
        <v>8.7550255650444039E-2</v>
      </c>
      <c r="G51" s="4">
        <f t="shared" si="3"/>
        <v>0.12259922099665078</v>
      </c>
      <c r="H51" s="4">
        <f t="shared" si="4"/>
        <v>2.1301113913954328</v>
      </c>
      <c r="I51" s="3">
        <f t="shared" si="5"/>
        <v>2.6158779069679388</v>
      </c>
    </row>
    <row r="52" spans="1:9" x14ac:dyDescent="0.25">
      <c r="A52" s="3" t="s">
        <v>53</v>
      </c>
      <c r="B52" s="3">
        <v>142</v>
      </c>
      <c r="C52" s="3">
        <v>31</v>
      </c>
      <c r="D52" s="4">
        <f t="shared" si="0"/>
        <v>0.21830985915492956</v>
      </c>
      <c r="E52" s="4">
        <f t="shared" si="1"/>
        <v>3.4483053806569175</v>
      </c>
      <c r="F52" s="4">
        <f t="shared" si="2"/>
        <v>0.158275038652959</v>
      </c>
      <c r="G52" s="4">
        <f t="shared" si="3"/>
        <v>0.29318462717626936</v>
      </c>
      <c r="H52" s="4">
        <f t="shared" si="4"/>
        <v>2.9843618427748857</v>
      </c>
      <c r="I52" s="3">
        <f t="shared" si="5"/>
        <v>3.8737375541640047</v>
      </c>
    </row>
    <row r="53" spans="1:9" x14ac:dyDescent="0.25">
      <c r="A53" s="3" t="s">
        <v>54</v>
      </c>
      <c r="B53" s="3">
        <v>1359</v>
      </c>
      <c r="C53" s="3">
        <v>68</v>
      </c>
      <c r="D53" s="4">
        <f t="shared" si="0"/>
        <v>5.0036791758646067E-2</v>
      </c>
      <c r="E53" s="4">
        <f t="shared" si="1"/>
        <v>1.322989290257673</v>
      </c>
      <c r="F53" s="4">
        <f t="shared" si="2"/>
        <v>3.9660592200381324E-2</v>
      </c>
      <c r="G53" s="4">
        <f t="shared" si="3"/>
        <v>6.2949718491631626E-2</v>
      </c>
      <c r="H53" s="4">
        <f t="shared" si="4"/>
        <v>0.98770621962865579</v>
      </c>
      <c r="I53" s="3">
        <f t="shared" si="5"/>
        <v>1.6541999262900404</v>
      </c>
    </row>
    <row r="54" spans="1:9" x14ac:dyDescent="0.25">
      <c r="A54" s="3" t="s">
        <v>55</v>
      </c>
      <c r="B54" s="3">
        <v>143</v>
      </c>
      <c r="C54" s="3">
        <v>15</v>
      </c>
      <c r="D54" s="4">
        <f t="shared" si="0"/>
        <v>0.1048951048951049</v>
      </c>
      <c r="E54" s="4">
        <f t="shared" si="1"/>
        <v>2.390875448604854</v>
      </c>
      <c r="F54" s="4">
        <f t="shared" si="2"/>
        <v>6.4603544580628169E-2</v>
      </c>
      <c r="G54" s="4">
        <f t="shared" si="3"/>
        <v>0.16585975737195202</v>
      </c>
      <c r="H54" s="4">
        <f t="shared" si="4"/>
        <v>1.6916133229471346</v>
      </c>
      <c r="I54" s="3">
        <f t="shared" si="5"/>
        <v>3.0518919818885073</v>
      </c>
    </row>
    <row r="55" spans="1:9" x14ac:dyDescent="0.25">
      <c r="A55" s="3" t="s">
        <v>56</v>
      </c>
      <c r="B55" s="3">
        <v>103</v>
      </c>
      <c r="C55" s="3">
        <v>7</v>
      </c>
      <c r="D55" s="4">
        <f t="shared" si="0"/>
        <v>6.7961165048543687E-2</v>
      </c>
      <c r="E55" s="4">
        <f t="shared" si="1"/>
        <v>1.7647105846491105</v>
      </c>
      <c r="F55" s="4">
        <f t="shared" si="2"/>
        <v>3.330731523877016E-2</v>
      </c>
      <c r="G55" s="4">
        <f t="shared" si="3"/>
        <v>0.13368381930058529</v>
      </c>
      <c r="H55" s="4">
        <f t="shared" si="4"/>
        <v>0.73583906917849451</v>
      </c>
      <c r="I55" s="3">
        <f t="shared" si="5"/>
        <v>2.7407529512873618</v>
      </c>
    </row>
    <row r="56" spans="1:9" x14ac:dyDescent="0.25">
      <c r="A56" s="3" t="s">
        <v>57</v>
      </c>
      <c r="B56" s="3">
        <v>53</v>
      </c>
      <c r="C56" s="3">
        <v>5</v>
      </c>
      <c r="D56" s="4">
        <f t="shared" si="0"/>
        <v>9.4339622641509441E-2</v>
      </c>
      <c r="E56" s="4">
        <f t="shared" si="1"/>
        <v>2.2378638300988882</v>
      </c>
      <c r="F56" s="4">
        <f t="shared" si="2"/>
        <v>4.0972037441896848E-2</v>
      </c>
      <c r="G56" s="4">
        <f t="shared" si="3"/>
        <v>0.20253975673701435</v>
      </c>
      <c r="H56" s="4">
        <f t="shared" si="4"/>
        <v>1.0346396363924049</v>
      </c>
      <c r="I56" s="3">
        <f t="shared" si="5"/>
        <v>3.3401332187742394</v>
      </c>
    </row>
    <row r="57" spans="1:9" x14ac:dyDescent="0.25">
      <c r="A57" s="3" t="s">
        <v>58</v>
      </c>
      <c r="B57" s="3">
        <v>131</v>
      </c>
      <c r="C57" s="3">
        <v>11</v>
      </c>
      <c r="D57" s="4">
        <f t="shared" si="0"/>
        <v>8.3969465648854963E-2</v>
      </c>
      <c r="E57" s="4">
        <f t="shared" si="1"/>
        <v>2.0698648068745715</v>
      </c>
      <c r="F57" s="4">
        <f t="shared" si="2"/>
        <v>4.7532584159918713E-2</v>
      </c>
      <c r="G57" s="4">
        <f t="shared" si="3"/>
        <v>0.1441115375354631</v>
      </c>
      <c r="H57" s="4">
        <f t="shared" si="4"/>
        <v>1.2489168374356452</v>
      </c>
      <c r="I57" s="3">
        <f t="shared" si="5"/>
        <v>2.8491139368460723</v>
      </c>
    </row>
    <row r="58" spans="1:9" x14ac:dyDescent="0.25">
      <c r="A58" s="3" t="s">
        <v>59</v>
      </c>
      <c r="B58" s="3">
        <v>15</v>
      </c>
      <c r="C58" s="3">
        <v>2</v>
      </c>
      <c r="D58" s="4">
        <f t="shared" si="0"/>
        <v>0.13333333333333333</v>
      </c>
      <c r="E58" s="4">
        <f t="shared" si="1"/>
        <v>2.7369655941662061</v>
      </c>
      <c r="F58" s="4">
        <f t="shared" si="2"/>
        <v>3.7360469891359285E-2</v>
      </c>
      <c r="G58" s="4">
        <f t="shared" si="3"/>
        <v>0.3788249920651624</v>
      </c>
      <c r="H58" s="4">
        <f t="shared" si="4"/>
        <v>0.90151260027430558</v>
      </c>
      <c r="I58" s="3">
        <f t="shared" si="5"/>
        <v>4.2434596071590605</v>
      </c>
    </row>
    <row r="59" spans="1:9" x14ac:dyDescent="0.25">
      <c r="A59" s="3" t="s">
        <v>60</v>
      </c>
      <c r="B59" s="3">
        <v>49</v>
      </c>
      <c r="C59" s="3">
        <v>2</v>
      </c>
      <c r="D59" s="4">
        <f t="shared" si="0"/>
        <v>4.0816326530612242E-2</v>
      </c>
      <c r="E59" s="4">
        <f t="shared" si="1"/>
        <v>1.0291463456595162</v>
      </c>
      <c r="F59" s="4">
        <f t="shared" si="2"/>
        <v>1.1265396927928273E-2</v>
      </c>
      <c r="G59" s="4">
        <f t="shared" si="3"/>
        <v>0.13713283476831106</v>
      </c>
      <c r="H59" s="4">
        <f t="shared" si="4"/>
        <v>-0.82810185323844665</v>
      </c>
      <c r="I59" s="3">
        <f t="shared" si="5"/>
        <v>2.7775021429250715</v>
      </c>
    </row>
    <row r="60" spans="1:9" x14ac:dyDescent="0.25">
      <c r="A60" s="3" t="s">
        <v>61</v>
      </c>
      <c r="B60" s="3">
        <v>290</v>
      </c>
      <c r="C60" s="3">
        <v>16</v>
      </c>
      <c r="D60" s="4">
        <f t="shared" si="0"/>
        <v>5.5172413793103448E-2</v>
      </c>
      <c r="E60" s="4">
        <f t="shared" si="1"/>
        <v>1.4639470997597901</v>
      </c>
      <c r="F60" s="4">
        <f t="shared" si="2"/>
        <v>3.424226141869819E-2</v>
      </c>
      <c r="G60" s="4">
        <f t="shared" si="3"/>
        <v>8.7733660302392366E-2</v>
      </c>
      <c r="H60" s="4">
        <f t="shared" si="4"/>
        <v>0.77577798298342449</v>
      </c>
      <c r="I60" s="3">
        <f t="shared" si="5"/>
        <v>2.1331304599387639</v>
      </c>
    </row>
    <row r="61" spans="1:9" x14ac:dyDescent="0.25">
      <c r="A61" s="3" t="s">
        <v>62</v>
      </c>
      <c r="B61" s="3">
        <v>16</v>
      </c>
      <c r="C61" s="3">
        <v>5</v>
      </c>
      <c r="D61" s="4">
        <f t="shared" si="0"/>
        <v>0.3125</v>
      </c>
      <c r="E61" s="4">
        <f t="shared" si="1"/>
        <v>3.9657842846620874</v>
      </c>
      <c r="F61" s="4">
        <f t="shared" si="2"/>
        <v>0.14164435051961052</v>
      </c>
      <c r="G61" s="4">
        <f t="shared" si="3"/>
        <v>0.55596068133265941</v>
      </c>
      <c r="H61" s="4">
        <f t="shared" si="4"/>
        <v>2.8242011559053144</v>
      </c>
      <c r="I61" s="3">
        <f t="shared" si="5"/>
        <v>4.7969109511235777</v>
      </c>
    </row>
    <row r="62" spans="1:9" x14ac:dyDescent="0.25">
      <c r="A62" s="3" t="s">
        <v>63</v>
      </c>
      <c r="B62" s="3">
        <v>93</v>
      </c>
      <c r="C62" s="3">
        <v>24</v>
      </c>
      <c r="D62" s="4">
        <f t="shared" si="0"/>
        <v>0.25806451612903225</v>
      </c>
      <c r="E62" s="4">
        <f t="shared" si="1"/>
        <v>3.6896598793878499</v>
      </c>
      <c r="F62" s="4">
        <f t="shared" si="2"/>
        <v>0.17998399469266022</v>
      </c>
      <c r="G62" s="4">
        <f t="shared" si="3"/>
        <v>0.35533966786557919</v>
      </c>
      <c r="H62" s="4">
        <f t="shared" si="4"/>
        <v>3.1697967136412841</v>
      </c>
      <c r="I62" s="3">
        <f t="shared" si="5"/>
        <v>4.1511268458658535</v>
      </c>
    </row>
    <row r="63" spans="1:9" x14ac:dyDescent="0.25">
      <c r="A63" s="3" t="s">
        <v>64</v>
      </c>
      <c r="B63" s="3">
        <v>74</v>
      </c>
      <c r="C63" s="3">
        <v>6</v>
      </c>
      <c r="D63" s="4">
        <f t="shared" si="0"/>
        <v>8.1081081081081086E-2</v>
      </c>
      <c r="E63" s="4">
        <f t="shared" si="1"/>
        <v>2.0193653248669312</v>
      </c>
      <c r="F63" s="4">
        <f t="shared" si="2"/>
        <v>3.7689336809333382E-2</v>
      </c>
      <c r="G63" s="4">
        <f t="shared" si="3"/>
        <v>0.16582138239479396</v>
      </c>
      <c r="H63" s="4">
        <f t="shared" si="4"/>
        <v>0.91415640921549002</v>
      </c>
      <c r="I63" s="3">
        <f t="shared" si="5"/>
        <v>3.0515581468713808</v>
      </c>
    </row>
    <row r="64" spans="1:9" x14ac:dyDescent="0.25">
      <c r="A64" s="3" t="s">
        <v>65</v>
      </c>
      <c r="B64" s="3">
        <v>119</v>
      </c>
      <c r="C64" s="3">
        <v>22</v>
      </c>
      <c r="D64" s="4">
        <f t="shared" si="0"/>
        <v>0.18487394957983194</v>
      </c>
      <c r="E64" s="4">
        <f t="shared" si="1"/>
        <v>3.2084700451040784</v>
      </c>
      <c r="F64" s="4">
        <f t="shared" si="2"/>
        <v>0.12537617174977098</v>
      </c>
      <c r="G64" s="4">
        <f t="shared" si="3"/>
        <v>0.26408147126367076</v>
      </c>
      <c r="H64" s="4">
        <f t="shared" si="4"/>
        <v>2.6481912790323694</v>
      </c>
      <c r="I64" s="3">
        <f t="shared" si="5"/>
        <v>3.7229111761963507</v>
      </c>
    </row>
    <row r="65" spans="1:9" x14ac:dyDescent="0.25">
      <c r="A65" s="3" t="s">
        <v>66</v>
      </c>
      <c r="B65" s="3">
        <v>94</v>
      </c>
      <c r="C65" s="3">
        <v>7</v>
      </c>
      <c r="D65" s="4">
        <f t="shared" si="0"/>
        <v>7.4468085106382975E-2</v>
      </c>
      <c r="E65" s="4">
        <f t="shared" si="1"/>
        <v>1.8966222601546914</v>
      </c>
      <c r="F65" s="4">
        <f t="shared" si="2"/>
        <v>3.6538116017519023E-2</v>
      </c>
      <c r="G65" s="4">
        <f t="shared" si="3"/>
        <v>0.14581376702609433</v>
      </c>
      <c r="H65" s="4">
        <f t="shared" si="4"/>
        <v>0.86940224747786876</v>
      </c>
      <c r="I65" s="3">
        <f t="shared" si="5"/>
        <v>2.8660550332259151</v>
      </c>
    </row>
    <row r="66" spans="1:9" x14ac:dyDescent="0.25">
      <c r="A66" s="3" t="s">
        <v>67</v>
      </c>
      <c r="B66" s="3">
        <v>28</v>
      </c>
      <c r="C66" s="3">
        <v>0</v>
      </c>
      <c r="D66" s="4" t="str">
        <f t="shared" si="0"/>
        <v>NaN</v>
      </c>
      <c r="E66" s="4" t="str">
        <f t="shared" si="1"/>
        <v>NaN</v>
      </c>
      <c r="F66" s="4" t="str">
        <f t="shared" si="2"/>
        <v>NaN</v>
      </c>
      <c r="G66" s="4" t="str">
        <f t="shared" si="3"/>
        <v>NaN</v>
      </c>
      <c r="H66" s="4" t="str">
        <f t="shared" si="4"/>
        <v>NaN</v>
      </c>
      <c r="I66" s="3" t="str">
        <f t="shared" si="5"/>
        <v>NaN</v>
      </c>
    </row>
    <row r="67" spans="1:9" x14ac:dyDescent="0.25">
      <c r="A67" s="3" t="s">
        <v>68</v>
      </c>
      <c r="B67" s="3">
        <v>144</v>
      </c>
      <c r="C67" s="3">
        <v>13</v>
      </c>
      <c r="D67" s="4">
        <f t="shared" ref="D67:D130" si="6">IF(C67=0,"NaN",C67/B67)</f>
        <v>9.0277777777777776E-2</v>
      </c>
      <c r="E67" s="4">
        <f t="shared" ref="E67:E130" si="7">IF(C67=0,"NaN",LN(D67/0.02)/LN(2))</f>
        <v>2.1743709064735044</v>
      </c>
      <c r="F67" s="4">
        <f t="shared" ref="F67:F130" si="8">IF(C67=0,"NaN",_xlfn.LET(_xlpm.N,B67,_xlpm.X,C67,_xlpm.p,_xlpm.X/_xlpm.N,_xlpm.z,1.96,(_xlpm.p+_xlpm.z^2/(2*_xlpm.N)-_xlpm.z*SQRT(_xlpm.p*(1-_xlpm.p)/_xlpm.N+_xlpm.z^2/(4*_xlpm.N^2)))/(1+_xlpm.z^2/_xlpm.N))
)</f>
        <v>5.3517484403900646E-2</v>
      </c>
      <c r="G67" s="4">
        <f t="shared" ref="G67:G130" si="9">IF(C67=0,"NaN",_xlfn.LET(_xlpm.N,B67,_xlpm.X,C67,_xlpm.p,_xlpm.X/_xlpm.N,_xlpm.z,1.96,(_xlpm.p+_xlpm.z^2/(2*_xlpm.N)+_xlpm.z*SQRT(_xlpm.p*(1-_xlpm.p)/_xlpm.N+_xlpm.z^2/(4*_xlpm.N^2)))/(1+_xlpm.z^2/_xlpm.N)))</f>
        <v>0.14833098043955342</v>
      </c>
      <c r="H67" s="4">
        <f t="shared" ref="H67:H130" si="10">IF(C67=0,"NaN",LN(F67/0.02)/LN(2))</f>
        <v>1.4200103035109046</v>
      </c>
      <c r="I67" s="3">
        <f t="shared" ref="I67:I130" si="11">IF(C67=0,"NaN",LN(G67/0.02)/LN(2))</f>
        <v>2.8907480457388788</v>
      </c>
    </row>
    <row r="68" spans="1:9" x14ac:dyDescent="0.25">
      <c r="A68" s="3" t="s">
        <v>69</v>
      </c>
      <c r="B68" s="3">
        <v>90</v>
      </c>
      <c r="C68" s="3">
        <v>21</v>
      </c>
      <c r="D68" s="4">
        <f t="shared" si="6"/>
        <v>0.23333333333333334</v>
      </c>
      <c r="E68" s="4">
        <f t="shared" si="7"/>
        <v>3.5443205162238103</v>
      </c>
      <c r="F68" s="4">
        <f t="shared" si="8"/>
        <v>0.15798078393937456</v>
      </c>
      <c r="G68" s="4">
        <f t="shared" si="9"/>
        <v>0.33051898588552181</v>
      </c>
      <c r="H68" s="4">
        <f t="shared" si="10"/>
        <v>2.9816771811293243</v>
      </c>
      <c r="I68" s="3">
        <f t="shared" si="11"/>
        <v>4.0466612412229699</v>
      </c>
    </row>
    <row r="69" spans="1:9" x14ac:dyDescent="0.25">
      <c r="A69" s="3" t="s">
        <v>70</v>
      </c>
      <c r="B69" s="3">
        <v>56</v>
      </c>
      <c r="C69" s="3">
        <v>4</v>
      </c>
      <c r="D69" s="4">
        <f t="shared" si="6"/>
        <v>7.1428571428571425E-2</v>
      </c>
      <c r="E69" s="4">
        <f t="shared" si="7"/>
        <v>1.8365012677171204</v>
      </c>
      <c r="F69" s="4">
        <f t="shared" si="8"/>
        <v>2.8125581246379629E-2</v>
      </c>
      <c r="G69" s="4">
        <f t="shared" si="9"/>
        <v>0.16975682831486202</v>
      </c>
      <c r="H69" s="4">
        <f t="shared" si="10"/>
        <v>0.49188291153338892</v>
      </c>
      <c r="I69" s="3">
        <f t="shared" si="11"/>
        <v>3.0853977016275267</v>
      </c>
    </row>
    <row r="70" spans="1:9" x14ac:dyDescent="0.25">
      <c r="A70" s="3" t="s">
        <v>71</v>
      </c>
      <c r="B70" s="3">
        <v>129</v>
      </c>
      <c r="C70" s="3">
        <v>12</v>
      </c>
      <c r="D70" s="4">
        <f t="shared" si="6"/>
        <v>9.3023255813953487E-2</v>
      </c>
      <c r="E70" s="4">
        <f t="shared" si="7"/>
        <v>2.2175914350726269</v>
      </c>
      <c r="F70" s="4">
        <f t="shared" si="8"/>
        <v>5.4014732012736551E-2</v>
      </c>
      <c r="G70" s="4">
        <f t="shared" si="9"/>
        <v>0.155570217280256</v>
      </c>
      <c r="H70" s="4">
        <f t="shared" si="10"/>
        <v>1.4333529425180696</v>
      </c>
      <c r="I70" s="3">
        <f t="shared" si="11"/>
        <v>2.9594939887930636</v>
      </c>
    </row>
    <row r="71" spans="1:9" x14ac:dyDescent="0.25">
      <c r="A71" s="3" t="s">
        <v>72</v>
      </c>
      <c r="B71" s="3">
        <v>271</v>
      </c>
      <c r="C71" s="3">
        <v>69</v>
      </c>
      <c r="D71" s="4">
        <f t="shared" si="6"/>
        <v>0.25461254612546125</v>
      </c>
      <c r="E71" s="4">
        <f t="shared" si="7"/>
        <v>3.6702316051990223</v>
      </c>
      <c r="F71" s="4">
        <f t="shared" si="8"/>
        <v>0.20642379985800779</v>
      </c>
      <c r="G71" s="4">
        <f t="shared" si="9"/>
        <v>0.30966110140875824</v>
      </c>
      <c r="H71" s="4">
        <f t="shared" si="10"/>
        <v>3.3675374123425508</v>
      </c>
      <c r="I71" s="3">
        <f t="shared" si="11"/>
        <v>3.9526182627586319</v>
      </c>
    </row>
    <row r="72" spans="1:9" x14ac:dyDescent="0.25">
      <c r="A72" s="3" t="s">
        <v>73</v>
      </c>
      <c r="B72" s="3">
        <v>300</v>
      </c>
      <c r="C72" s="3">
        <v>49</v>
      </c>
      <c r="D72" s="4">
        <f t="shared" si="6"/>
        <v>0.16333333333333333</v>
      </c>
      <c r="E72" s="4">
        <f t="shared" si="7"/>
        <v>3.0297473433940518</v>
      </c>
      <c r="F72" s="4">
        <f t="shared" si="8"/>
        <v>0.12580582169498175</v>
      </c>
      <c r="G72" s="4">
        <f t="shared" si="9"/>
        <v>0.20937408783682693</v>
      </c>
      <c r="H72" s="4">
        <f t="shared" si="10"/>
        <v>2.6531267797130345</v>
      </c>
      <c r="I72" s="3">
        <f t="shared" si="11"/>
        <v>3.3880110000858972</v>
      </c>
    </row>
    <row r="73" spans="1:9" x14ac:dyDescent="0.25">
      <c r="A73" s="3" t="s">
        <v>74</v>
      </c>
      <c r="B73" s="3">
        <v>154</v>
      </c>
      <c r="C73" s="3">
        <v>10</v>
      </c>
      <c r="D73" s="4">
        <f t="shared" si="6"/>
        <v>6.4935064935064929E-2</v>
      </c>
      <c r="E73" s="4">
        <f t="shared" si="7"/>
        <v>1.6989977439671853</v>
      </c>
      <c r="F73" s="4">
        <f t="shared" si="8"/>
        <v>3.5650162878397375E-2</v>
      </c>
      <c r="G73" s="4">
        <f t="shared" si="9"/>
        <v>0.11539746968488124</v>
      </c>
      <c r="H73" s="4">
        <f t="shared" si="10"/>
        <v>0.83390866806662101</v>
      </c>
      <c r="I73" s="3">
        <f t="shared" si="11"/>
        <v>2.5285396853084063</v>
      </c>
    </row>
    <row r="74" spans="1:9" x14ac:dyDescent="0.25">
      <c r="A74" s="3" t="s">
        <v>75</v>
      </c>
      <c r="B74" s="3">
        <v>424</v>
      </c>
      <c r="C74" s="3">
        <v>52</v>
      </c>
      <c r="D74" s="4">
        <f t="shared" si="6"/>
        <v>0.12264150943396226</v>
      </c>
      <c r="E74" s="4">
        <f t="shared" si="7"/>
        <v>2.6163754533526178</v>
      </c>
      <c r="F74" s="4">
        <f t="shared" si="8"/>
        <v>9.4762765047929229E-2</v>
      </c>
      <c r="G74" s="4">
        <f t="shared" si="9"/>
        <v>0.15729687571631626</v>
      </c>
      <c r="H74" s="4">
        <f t="shared" si="10"/>
        <v>2.2443202950612196</v>
      </c>
      <c r="I74" s="3">
        <f t="shared" si="11"/>
        <v>2.975418110629263</v>
      </c>
    </row>
    <row r="75" spans="1:9" x14ac:dyDescent="0.25">
      <c r="A75" s="3" t="s">
        <v>76</v>
      </c>
      <c r="B75" s="3">
        <v>125</v>
      </c>
      <c r="C75" s="3">
        <v>16</v>
      </c>
      <c r="D75" s="4">
        <f t="shared" si="6"/>
        <v>0.128</v>
      </c>
      <c r="E75" s="4">
        <f t="shared" si="7"/>
        <v>2.6780719051126378</v>
      </c>
      <c r="F75" s="4">
        <f t="shared" si="8"/>
        <v>8.034633966605037E-2</v>
      </c>
      <c r="G75" s="4">
        <f t="shared" si="9"/>
        <v>0.19783710419059222</v>
      </c>
      <c r="H75" s="4">
        <f t="shared" si="10"/>
        <v>2.0062323006157068</v>
      </c>
      <c r="I75" s="3">
        <f t="shared" si="11"/>
        <v>3.3062411226612944</v>
      </c>
    </row>
    <row r="76" spans="1:9" x14ac:dyDescent="0.25">
      <c r="A76" s="3" t="s">
        <v>77</v>
      </c>
      <c r="B76" s="3">
        <v>110</v>
      </c>
      <c r="C76" s="3">
        <v>17</v>
      </c>
      <c r="D76" s="4">
        <f t="shared" si="6"/>
        <v>0.15454545454545454</v>
      </c>
      <c r="E76" s="4">
        <f t="shared" si="7"/>
        <v>2.9499593175004049</v>
      </c>
      <c r="F76" s="4">
        <f t="shared" si="8"/>
        <v>9.8785704782089853E-2</v>
      </c>
      <c r="G76" s="4">
        <f t="shared" si="9"/>
        <v>0.2336200238794891</v>
      </c>
      <c r="H76" s="4">
        <f t="shared" si="10"/>
        <v>2.3043022854118509</v>
      </c>
      <c r="I76" s="3">
        <f t="shared" si="11"/>
        <v>3.5460920296942207</v>
      </c>
    </row>
    <row r="77" spans="1:9" x14ac:dyDescent="0.25">
      <c r="A77" s="3" t="s">
        <v>78</v>
      </c>
      <c r="B77" s="3">
        <v>86</v>
      </c>
      <c r="C77" s="3">
        <v>7</v>
      </c>
      <c r="D77" s="4">
        <f t="shared" si="6"/>
        <v>8.1395348837209308E-2</v>
      </c>
      <c r="E77" s="4">
        <f t="shared" si="7"/>
        <v>2.0249463571302311</v>
      </c>
      <c r="F77" s="4">
        <f t="shared" si="8"/>
        <v>3.99859229859802E-2</v>
      </c>
      <c r="G77" s="4">
        <f t="shared" si="9"/>
        <v>0.15860359456490936</v>
      </c>
      <c r="H77" s="4">
        <f t="shared" si="10"/>
        <v>0.99949218968117359</v>
      </c>
      <c r="I77" s="3">
        <f t="shared" si="11"/>
        <v>2.9873535632949708</v>
      </c>
    </row>
    <row r="78" spans="1:9" x14ac:dyDescent="0.25">
      <c r="A78" s="3" t="s">
        <v>79</v>
      </c>
      <c r="B78" s="3">
        <v>10</v>
      </c>
      <c r="C78" s="3">
        <v>2</v>
      </c>
      <c r="D78" s="4">
        <f t="shared" si="6"/>
        <v>0.2</v>
      </c>
      <c r="E78" s="4">
        <f t="shared" si="7"/>
        <v>3.3219280948873626</v>
      </c>
      <c r="F78" s="4">
        <f t="shared" si="8"/>
        <v>5.6680947980693321E-2</v>
      </c>
      <c r="G78" s="4">
        <f t="shared" si="9"/>
        <v>0.50984315327927654</v>
      </c>
      <c r="H78" s="4">
        <f t="shared" si="10"/>
        <v>1.5028638873245306</v>
      </c>
      <c r="I78" s="3">
        <f t="shared" si="11"/>
        <v>4.6719815835617364</v>
      </c>
    </row>
    <row r="79" spans="1:9" x14ac:dyDescent="0.25">
      <c r="A79" s="3" t="s">
        <v>80</v>
      </c>
      <c r="B79" s="3">
        <v>128</v>
      </c>
      <c r="C79" s="3">
        <v>7</v>
      </c>
      <c r="D79" s="4">
        <f t="shared" si="6"/>
        <v>5.46875E-2</v>
      </c>
      <c r="E79" s="4">
        <f t="shared" si="7"/>
        <v>1.451211111832329</v>
      </c>
      <c r="F79" s="4">
        <f t="shared" si="8"/>
        <v>2.6739860883193318E-2</v>
      </c>
      <c r="G79" s="4">
        <f t="shared" si="9"/>
        <v>0.10858616671355914</v>
      </c>
      <c r="H79" s="4">
        <f t="shared" si="10"/>
        <v>0.41899195968522251</v>
      </c>
      <c r="I79" s="3">
        <f t="shared" si="11"/>
        <v>2.4407684182422189</v>
      </c>
    </row>
    <row r="80" spans="1:9" x14ac:dyDescent="0.25">
      <c r="A80" s="3" t="s">
        <v>81</v>
      </c>
      <c r="B80" s="3">
        <v>31</v>
      </c>
      <c r="C80" s="3">
        <v>3</v>
      </c>
      <c r="D80" s="4">
        <f t="shared" si="6"/>
        <v>9.6774193548387094E-2</v>
      </c>
      <c r="E80" s="4">
        <f t="shared" si="7"/>
        <v>2.2746223801090055</v>
      </c>
      <c r="F80" s="4">
        <f t="shared" si="8"/>
        <v>3.3464036094643976E-2</v>
      </c>
      <c r="G80" s="4">
        <f t="shared" si="9"/>
        <v>0.24900289998177039</v>
      </c>
      <c r="H80" s="4">
        <f t="shared" si="10"/>
        <v>0.74261145920072313</v>
      </c>
      <c r="I80" s="3">
        <f t="shared" si="11"/>
        <v>3.6380906394496169</v>
      </c>
    </row>
    <row r="81" spans="1:9" x14ac:dyDescent="0.25">
      <c r="A81" s="3" t="s">
        <v>82</v>
      </c>
      <c r="B81" s="3">
        <v>16</v>
      </c>
      <c r="C81" s="3">
        <v>1</v>
      </c>
      <c r="D81" s="4">
        <f t="shared" si="6"/>
        <v>6.25E-2</v>
      </c>
      <c r="E81" s="4">
        <f t="shared" si="7"/>
        <v>1.6438561897747248</v>
      </c>
      <c r="F81" s="4">
        <f t="shared" si="8"/>
        <v>1.1119057308331216E-2</v>
      </c>
      <c r="G81" s="4">
        <f t="shared" si="9"/>
        <v>0.2832926836802987</v>
      </c>
      <c r="H81" s="4">
        <f t="shared" si="10"/>
        <v>-0.84696552077367093</v>
      </c>
      <c r="I81" s="3">
        <f t="shared" si="11"/>
        <v>3.824221438027839</v>
      </c>
    </row>
    <row r="82" spans="1:9" x14ac:dyDescent="0.25">
      <c r="A82" s="3" t="s">
        <v>83</v>
      </c>
      <c r="B82" s="3">
        <v>44</v>
      </c>
      <c r="C82" s="3">
        <v>1</v>
      </c>
      <c r="D82" s="4">
        <f t="shared" si="6"/>
        <v>2.2727272727272728E-2</v>
      </c>
      <c r="E82" s="4">
        <f t="shared" si="7"/>
        <v>0.18442457113742758</v>
      </c>
      <c r="F82" s="4">
        <f t="shared" si="8"/>
        <v>4.02314838563701E-3</v>
      </c>
      <c r="G82" s="4">
        <f t="shared" si="9"/>
        <v>0.11807979131537633</v>
      </c>
      <c r="H82" s="4">
        <f t="shared" si="10"/>
        <v>-2.3136031450732748</v>
      </c>
      <c r="I82" s="3">
        <f t="shared" si="11"/>
        <v>2.5616901716986331</v>
      </c>
    </row>
    <row r="83" spans="1:9" x14ac:dyDescent="0.25">
      <c r="A83" s="3" t="s">
        <v>84</v>
      </c>
      <c r="B83" s="3">
        <v>33</v>
      </c>
      <c r="C83" s="3">
        <v>9</v>
      </c>
      <c r="D83" s="4">
        <f t="shared" si="6"/>
        <v>0.27272727272727271</v>
      </c>
      <c r="E83" s="4">
        <f t="shared" si="7"/>
        <v>3.769387071858584</v>
      </c>
      <c r="F83" s="4">
        <f t="shared" si="8"/>
        <v>0.15067272656322811</v>
      </c>
      <c r="G83" s="4">
        <f t="shared" si="9"/>
        <v>0.44217883254386814</v>
      </c>
      <c r="H83" s="4">
        <f t="shared" si="10"/>
        <v>2.9133463916312694</v>
      </c>
      <c r="I83" s="3">
        <f t="shared" si="11"/>
        <v>4.4665580587232707</v>
      </c>
    </row>
    <row r="84" spans="1:9" x14ac:dyDescent="0.25">
      <c r="A84" s="3" t="s">
        <v>85</v>
      </c>
      <c r="B84" s="3">
        <v>365</v>
      </c>
      <c r="C84" s="3">
        <v>15</v>
      </c>
      <c r="D84" s="4">
        <f t="shared" si="6"/>
        <v>4.1095890410958902E-2</v>
      </c>
      <c r="E84" s="4">
        <f t="shared" si="7"/>
        <v>1.0389941316158635</v>
      </c>
      <c r="F84" s="4">
        <f t="shared" si="8"/>
        <v>2.506011154476338E-2</v>
      </c>
      <c r="G84" s="4">
        <f t="shared" si="9"/>
        <v>6.6690927383600426E-2</v>
      </c>
      <c r="H84" s="4">
        <f t="shared" si="10"/>
        <v>0.32539283623674153</v>
      </c>
      <c r="I84" s="3">
        <f t="shared" si="11"/>
        <v>1.7374905109007068</v>
      </c>
    </row>
    <row r="85" spans="1:9" x14ac:dyDescent="0.25">
      <c r="A85" s="3" t="s">
        <v>86</v>
      </c>
      <c r="B85" s="3">
        <v>133</v>
      </c>
      <c r="C85" s="3">
        <v>14</v>
      </c>
      <c r="D85" s="4">
        <f t="shared" si="6"/>
        <v>0.10526315789473684</v>
      </c>
      <c r="E85" s="4">
        <f t="shared" si="7"/>
        <v>2.3959286763311392</v>
      </c>
      <c r="F85" s="4">
        <f t="shared" si="8"/>
        <v>6.3744096987767729E-2</v>
      </c>
      <c r="G85" s="4">
        <f t="shared" si="9"/>
        <v>0.16894537755798442</v>
      </c>
      <c r="H85" s="4">
        <f t="shared" si="10"/>
        <v>1.6722917476062487</v>
      </c>
      <c r="I85" s="3">
        <f t="shared" si="11"/>
        <v>3.0784849729688188</v>
      </c>
    </row>
    <row r="86" spans="1:9" x14ac:dyDescent="0.25">
      <c r="A86" s="3" t="s">
        <v>87</v>
      </c>
      <c r="B86" s="3">
        <v>65</v>
      </c>
      <c r="C86" s="3">
        <v>2</v>
      </c>
      <c r="D86" s="4">
        <f t="shared" si="6"/>
        <v>3.0769230769230771E-2</v>
      </c>
      <c r="E86" s="4">
        <f t="shared" si="7"/>
        <v>0.62148837674627033</v>
      </c>
      <c r="F86" s="4">
        <f t="shared" si="8"/>
        <v>8.4788194009453536E-3</v>
      </c>
      <c r="G86" s="4">
        <f t="shared" si="9"/>
        <v>0.10542905025926008</v>
      </c>
      <c r="H86" s="4">
        <f t="shared" si="10"/>
        <v>-1.2380646983744323</v>
      </c>
      <c r="I86" s="3">
        <f t="shared" si="11"/>
        <v>2.3982005414672432</v>
      </c>
    </row>
    <row r="87" spans="1:9" x14ac:dyDescent="0.25">
      <c r="A87" s="3" t="s">
        <v>88</v>
      </c>
      <c r="B87" s="3">
        <v>48</v>
      </c>
      <c r="C87" s="3">
        <v>3</v>
      </c>
      <c r="D87" s="4">
        <f t="shared" si="6"/>
        <v>6.25E-2</v>
      </c>
      <c r="E87" s="4">
        <f t="shared" si="7"/>
        <v>1.6438561897747248</v>
      </c>
      <c r="F87" s="4">
        <f t="shared" si="8"/>
        <v>2.1482843131227235E-2</v>
      </c>
      <c r="G87" s="4">
        <f t="shared" si="9"/>
        <v>0.16835697662742219</v>
      </c>
      <c r="H87" s="4">
        <f t="shared" si="10"/>
        <v>0.10318493838325045</v>
      </c>
      <c r="I87" s="3">
        <f t="shared" si="11"/>
        <v>3.073451601839877</v>
      </c>
    </row>
    <row r="88" spans="1:9" x14ac:dyDescent="0.25">
      <c r="A88" s="3" t="s">
        <v>89</v>
      </c>
      <c r="B88" s="3">
        <v>9</v>
      </c>
      <c r="C88" s="3">
        <v>0</v>
      </c>
      <c r="D88" s="4" t="str">
        <f t="shared" si="6"/>
        <v>NaN</v>
      </c>
      <c r="E88" s="4" t="str">
        <f t="shared" si="7"/>
        <v>NaN</v>
      </c>
      <c r="F88" s="4" t="str">
        <f t="shared" si="8"/>
        <v>NaN</v>
      </c>
      <c r="G88" s="4" t="str">
        <f t="shared" si="9"/>
        <v>NaN</v>
      </c>
      <c r="H88" s="4" t="str">
        <f t="shared" si="10"/>
        <v>NaN</v>
      </c>
      <c r="I88" s="3" t="str">
        <f t="shared" si="11"/>
        <v>NaN</v>
      </c>
    </row>
    <row r="89" spans="1:9" x14ac:dyDescent="0.25">
      <c r="A89" s="3" t="s">
        <v>90</v>
      </c>
      <c r="B89" s="3">
        <v>39</v>
      </c>
      <c r="C89" s="3">
        <v>1</v>
      </c>
      <c r="D89" s="4">
        <f t="shared" si="6"/>
        <v>2.564102564102564E-2</v>
      </c>
      <c r="E89" s="4">
        <f t="shared" si="7"/>
        <v>0.35845397091247627</v>
      </c>
      <c r="F89" s="4">
        <f t="shared" si="8"/>
        <v>4.5405860652373703E-3</v>
      </c>
      <c r="G89" s="4">
        <f t="shared" si="9"/>
        <v>0.13181286478627144</v>
      </c>
      <c r="H89" s="4">
        <f t="shared" si="10"/>
        <v>-2.1390495729564281</v>
      </c>
      <c r="I89" s="3">
        <f t="shared" si="11"/>
        <v>2.7204192775065499</v>
      </c>
    </row>
    <row r="90" spans="1:9" x14ac:dyDescent="0.25">
      <c r="A90" s="3" t="s">
        <v>91</v>
      </c>
      <c r="B90" s="3">
        <v>29</v>
      </c>
      <c r="C90" s="3">
        <v>1</v>
      </c>
      <c r="D90" s="4">
        <f t="shared" si="6"/>
        <v>3.4482758620689655E-2</v>
      </c>
      <c r="E90" s="4">
        <f t="shared" si="7"/>
        <v>0.7858751946471525</v>
      </c>
      <c r="F90" s="4">
        <f t="shared" si="8"/>
        <v>6.1130566140322638E-3</v>
      </c>
      <c r="G90" s="4">
        <f t="shared" si="9"/>
        <v>0.17175891064700252</v>
      </c>
      <c r="H90" s="4">
        <f t="shared" si="10"/>
        <v>-1.710034166684427</v>
      </c>
      <c r="I90" s="3">
        <f t="shared" si="11"/>
        <v>3.1023130411666964</v>
      </c>
    </row>
    <row r="91" spans="1:9" x14ac:dyDescent="0.25">
      <c r="A91" s="3" t="s">
        <v>92</v>
      </c>
      <c r="B91" s="3">
        <v>31</v>
      </c>
      <c r="C91" s="3">
        <v>0</v>
      </c>
      <c r="D91" s="4" t="str">
        <f t="shared" si="6"/>
        <v>NaN</v>
      </c>
      <c r="E91" s="4" t="str">
        <f t="shared" si="7"/>
        <v>NaN</v>
      </c>
      <c r="F91" s="4" t="str">
        <f t="shared" si="8"/>
        <v>NaN</v>
      </c>
      <c r="G91" s="4" t="str">
        <f t="shared" si="9"/>
        <v>NaN</v>
      </c>
      <c r="H91" s="4" t="str">
        <f t="shared" si="10"/>
        <v>NaN</v>
      </c>
      <c r="I91" s="3" t="str">
        <f t="shared" si="11"/>
        <v>NaN</v>
      </c>
    </row>
    <row r="92" spans="1:9" x14ac:dyDescent="0.25">
      <c r="A92" s="3" t="s">
        <v>93</v>
      </c>
      <c r="B92" s="3">
        <v>37</v>
      </c>
      <c r="C92" s="3">
        <v>4</v>
      </c>
      <c r="D92" s="4">
        <f t="shared" si="6"/>
        <v>0.10810810810810811</v>
      </c>
      <c r="E92" s="4">
        <f t="shared" si="7"/>
        <v>2.4344028241457751</v>
      </c>
      <c r="F92" s="4">
        <f t="shared" si="8"/>
        <v>4.2851205205062678E-2</v>
      </c>
      <c r="G92" s="4">
        <f t="shared" si="9"/>
        <v>0.24708846415167166</v>
      </c>
      <c r="H92" s="4">
        <f t="shared" si="10"/>
        <v>1.0993357812086169</v>
      </c>
      <c r="I92" s="3">
        <f t="shared" si="11"/>
        <v>3.6269557518524418</v>
      </c>
    </row>
    <row r="93" spans="1:9" x14ac:dyDescent="0.25">
      <c r="A93" s="3" t="s">
        <v>94</v>
      </c>
      <c r="B93" s="3">
        <v>63</v>
      </c>
      <c r="C93" s="3">
        <v>8</v>
      </c>
      <c r="D93" s="4">
        <f t="shared" si="6"/>
        <v>0.12698412698412698</v>
      </c>
      <c r="E93" s="4">
        <f t="shared" si="7"/>
        <v>2.666576266274808</v>
      </c>
      <c r="F93" s="4">
        <f t="shared" si="8"/>
        <v>6.5772463407801726E-2</v>
      </c>
      <c r="G93" s="4">
        <f t="shared" si="9"/>
        <v>0.2310726151061776</v>
      </c>
      <c r="H93" s="4">
        <f t="shared" si="10"/>
        <v>1.7174837052375909</v>
      </c>
      <c r="I93" s="3">
        <f t="shared" si="11"/>
        <v>3.5302743880485496</v>
      </c>
    </row>
    <row r="94" spans="1:9" x14ac:dyDescent="0.25">
      <c r="A94" s="3" t="s">
        <v>95</v>
      </c>
      <c r="B94" s="3">
        <v>26</v>
      </c>
      <c r="C94" s="3">
        <v>1</v>
      </c>
      <c r="D94" s="4">
        <f t="shared" si="6"/>
        <v>3.8461538461538464E-2</v>
      </c>
      <c r="E94" s="4">
        <f t="shared" si="7"/>
        <v>0.94341647163363263</v>
      </c>
      <c r="F94" s="4">
        <f t="shared" si="8"/>
        <v>6.8218089769898817E-3</v>
      </c>
      <c r="G94" s="4">
        <f t="shared" si="9"/>
        <v>0.18893176991958402</v>
      </c>
      <c r="H94" s="4">
        <f t="shared" si="10"/>
        <v>-1.5517737374452565</v>
      </c>
      <c r="I94" s="3">
        <f t="shared" si="11"/>
        <v>3.2397934141444638</v>
      </c>
    </row>
    <row r="95" spans="1:9" x14ac:dyDescent="0.25">
      <c r="A95" s="3" t="s">
        <v>96</v>
      </c>
      <c r="B95" s="3">
        <v>94</v>
      </c>
      <c r="C95" s="3">
        <v>8</v>
      </c>
      <c r="D95" s="4">
        <f t="shared" si="6"/>
        <v>8.5106382978723402E-2</v>
      </c>
      <c r="E95" s="4">
        <f t="shared" si="7"/>
        <v>2.0892673380970872</v>
      </c>
      <c r="F95" s="4">
        <f t="shared" si="8"/>
        <v>4.3754964668229868E-2</v>
      </c>
      <c r="G95" s="4">
        <f t="shared" si="9"/>
        <v>0.15903812129929315</v>
      </c>
      <c r="H95" s="4">
        <f t="shared" si="10"/>
        <v>1.1294467219934681</v>
      </c>
      <c r="I95" s="3">
        <f t="shared" si="11"/>
        <v>2.9913007145951069</v>
      </c>
    </row>
    <row r="96" spans="1:9" x14ac:dyDescent="0.25">
      <c r="A96" s="3" t="s">
        <v>97</v>
      </c>
      <c r="B96" s="3">
        <v>59</v>
      </c>
      <c r="C96" s="3">
        <v>8</v>
      </c>
      <c r="D96" s="4">
        <f t="shared" si="6"/>
        <v>0.13559322033898305</v>
      </c>
      <c r="E96" s="4">
        <f t="shared" si="7"/>
        <v>2.7612131404128832</v>
      </c>
      <c r="F96" s="4">
        <f t="shared" si="8"/>
        <v>7.0340907496855676E-2</v>
      </c>
      <c r="G96" s="4">
        <f t="shared" si="9"/>
        <v>0.24539898454917755</v>
      </c>
      <c r="H96" s="4">
        <f t="shared" si="10"/>
        <v>1.8143639478828635</v>
      </c>
      <c r="I96" s="3">
        <f t="shared" si="11"/>
        <v>3.617057374088275</v>
      </c>
    </row>
    <row r="97" spans="1:9" x14ac:dyDescent="0.25">
      <c r="A97" s="3" t="s">
        <v>98</v>
      </c>
      <c r="B97" s="3">
        <v>120</v>
      </c>
      <c r="C97" s="3">
        <v>23</v>
      </c>
      <c r="D97" s="4">
        <f t="shared" si="6"/>
        <v>0.19166666666666668</v>
      </c>
      <c r="E97" s="4">
        <f t="shared" si="7"/>
        <v>3.2605275502232192</v>
      </c>
      <c r="F97" s="4">
        <f t="shared" si="8"/>
        <v>0.13124933052612614</v>
      </c>
      <c r="G97" s="4">
        <f t="shared" si="9"/>
        <v>0.27121316995836381</v>
      </c>
      <c r="H97" s="4">
        <f t="shared" si="10"/>
        <v>2.7142381588158284</v>
      </c>
      <c r="I97" s="3">
        <f t="shared" si="11"/>
        <v>3.7613553315190398</v>
      </c>
    </row>
    <row r="98" spans="1:9" x14ac:dyDescent="0.25">
      <c r="A98" s="3" t="s">
        <v>99</v>
      </c>
      <c r="B98" s="3">
        <v>32</v>
      </c>
      <c r="C98" s="3">
        <v>4</v>
      </c>
      <c r="D98" s="4">
        <f t="shared" si="6"/>
        <v>0.125</v>
      </c>
      <c r="E98" s="4">
        <f t="shared" si="7"/>
        <v>2.6438561897747248</v>
      </c>
      <c r="F98" s="4">
        <f t="shared" si="8"/>
        <v>4.9700538444743002E-2</v>
      </c>
      <c r="G98" s="4">
        <f t="shared" si="9"/>
        <v>0.28068649784827965</v>
      </c>
      <c r="H98" s="4">
        <f t="shared" si="10"/>
        <v>1.3132614817141735</v>
      </c>
      <c r="I98" s="3">
        <f t="shared" si="11"/>
        <v>3.8108877609613776</v>
      </c>
    </row>
    <row r="99" spans="1:9" x14ac:dyDescent="0.25">
      <c r="A99" s="3" t="s">
        <v>100</v>
      </c>
      <c r="B99" s="3">
        <v>86</v>
      </c>
      <c r="C99" s="3">
        <v>4</v>
      </c>
      <c r="D99" s="4">
        <f t="shared" si="6"/>
        <v>4.6511627906976744E-2</v>
      </c>
      <c r="E99" s="4">
        <f t="shared" si="7"/>
        <v>1.2175914350726269</v>
      </c>
      <c r="F99" s="4">
        <f t="shared" si="8"/>
        <v>1.8233673172959066E-2</v>
      </c>
      <c r="G99" s="4">
        <f t="shared" si="9"/>
        <v>0.11357163750717128</v>
      </c>
      <c r="H99" s="4">
        <f t="shared" si="10"/>
        <v>-0.13339477846893255</v>
      </c>
      <c r="I99" s="3">
        <f t="shared" si="11"/>
        <v>2.5055306873298684</v>
      </c>
    </row>
    <row r="100" spans="1:9" x14ac:dyDescent="0.25">
      <c r="A100" s="3" t="s">
        <v>101</v>
      </c>
      <c r="B100" s="3">
        <v>122</v>
      </c>
      <c r="C100" s="3">
        <v>6</v>
      </c>
      <c r="D100" s="4">
        <f t="shared" si="6"/>
        <v>4.9180327868852458E-2</v>
      </c>
      <c r="E100" s="4">
        <f t="shared" si="7"/>
        <v>1.2980813529329946</v>
      </c>
      <c r="F100" s="4">
        <f t="shared" si="8"/>
        <v>2.2731860243578907E-2</v>
      </c>
      <c r="G100" s="4">
        <f t="shared" si="9"/>
        <v>0.10315337961351127</v>
      </c>
      <c r="H100" s="4">
        <f t="shared" si="10"/>
        <v>0.18471575078010272</v>
      </c>
      <c r="I100" s="3">
        <f t="shared" si="11"/>
        <v>2.3667191838944053</v>
      </c>
    </row>
    <row r="101" spans="1:9" x14ac:dyDescent="0.25">
      <c r="A101" s="3" t="s">
        <v>102</v>
      </c>
      <c r="B101" s="3">
        <v>134</v>
      </c>
      <c r="C101" s="3">
        <v>7</v>
      </c>
      <c r="D101" s="4">
        <f t="shared" si="6"/>
        <v>5.2238805970149252E-2</v>
      </c>
      <c r="E101" s="4">
        <f t="shared" si="7"/>
        <v>1.3851219213745565</v>
      </c>
      <c r="F101" s="4">
        <f t="shared" si="8"/>
        <v>2.5531676904571001E-2</v>
      </c>
      <c r="G101" s="4">
        <f t="shared" si="9"/>
        <v>0.1039038490904842</v>
      </c>
      <c r="H101" s="4">
        <f t="shared" si="10"/>
        <v>0.3522882961648941</v>
      </c>
      <c r="I101" s="3">
        <f t="shared" si="11"/>
        <v>2.3771771943739175</v>
      </c>
    </row>
    <row r="102" spans="1:9" x14ac:dyDescent="0.25">
      <c r="A102" s="3" t="s">
        <v>103</v>
      </c>
      <c r="B102" s="3">
        <v>72</v>
      </c>
      <c r="C102" s="3">
        <v>7</v>
      </c>
      <c r="D102" s="4">
        <f t="shared" si="6"/>
        <v>9.7222222222222224E-2</v>
      </c>
      <c r="E102" s="4">
        <f t="shared" si="7"/>
        <v>2.2812861103900164</v>
      </c>
      <c r="F102" s="4">
        <f t="shared" si="8"/>
        <v>4.7895711261167928E-2</v>
      </c>
      <c r="G102" s="4">
        <f t="shared" si="9"/>
        <v>0.18735249025356804</v>
      </c>
      <c r="H102" s="4">
        <f t="shared" si="10"/>
        <v>1.2598964781064688</v>
      </c>
      <c r="I102" s="3">
        <f t="shared" si="11"/>
        <v>3.2276832487091611</v>
      </c>
    </row>
    <row r="103" spans="1:9" x14ac:dyDescent="0.25">
      <c r="A103" s="3" t="s">
        <v>104</v>
      </c>
      <c r="B103" s="3">
        <v>48</v>
      </c>
      <c r="C103" s="3">
        <v>4</v>
      </c>
      <c r="D103" s="4">
        <f t="shared" si="6"/>
        <v>8.3333333333333329E-2</v>
      </c>
      <c r="E103" s="4">
        <f t="shared" si="7"/>
        <v>2.0588936890535683</v>
      </c>
      <c r="F103" s="4">
        <f t="shared" si="8"/>
        <v>3.2883224349955553E-2</v>
      </c>
      <c r="G103" s="4">
        <f t="shared" si="9"/>
        <v>0.19553565161066291</v>
      </c>
      <c r="H103" s="4">
        <f t="shared" si="10"/>
        <v>0.71735176877691609</v>
      </c>
      <c r="I103" s="3">
        <f t="shared" si="11"/>
        <v>3.2893597700038986</v>
      </c>
    </row>
    <row r="104" spans="1:9" x14ac:dyDescent="0.25">
      <c r="A104" s="3" t="s">
        <v>105</v>
      </c>
      <c r="B104" s="3">
        <v>49</v>
      </c>
      <c r="C104" s="3">
        <v>1</v>
      </c>
      <c r="D104" s="4">
        <f t="shared" si="6"/>
        <v>2.0408163265306121E-2</v>
      </c>
      <c r="E104" s="4">
        <f t="shared" si="7"/>
        <v>2.9146345659516203E-2</v>
      </c>
      <c r="F104" s="4">
        <f t="shared" si="8"/>
        <v>3.611579538530695E-3</v>
      </c>
      <c r="G104" s="4">
        <f t="shared" si="9"/>
        <v>0.10693768467754147</v>
      </c>
      <c r="H104" s="4">
        <f t="shared" si="10"/>
        <v>-2.4692981514001109</v>
      </c>
      <c r="I104" s="3">
        <f t="shared" si="11"/>
        <v>2.4186984410867329</v>
      </c>
    </row>
    <row r="105" spans="1:9" x14ac:dyDescent="0.25">
      <c r="A105" s="3" t="s">
        <v>106</v>
      </c>
      <c r="B105" s="3">
        <v>511</v>
      </c>
      <c r="C105" s="3">
        <v>48</v>
      </c>
      <c r="D105" s="4">
        <f t="shared" si="6"/>
        <v>9.393346379647749E-2</v>
      </c>
      <c r="E105" s="4">
        <f t="shared" si="7"/>
        <v>2.2316392095582596</v>
      </c>
      <c r="F105" s="4">
        <f t="shared" si="8"/>
        <v>7.1581399850895455E-2</v>
      </c>
      <c r="G105" s="4">
        <f t="shared" si="9"/>
        <v>0.12234543123656912</v>
      </c>
      <c r="H105" s="4">
        <f t="shared" si="10"/>
        <v>1.8395847574759709</v>
      </c>
      <c r="I105" s="3">
        <f t="shared" si="11"/>
        <v>2.6128883225374908</v>
      </c>
    </row>
    <row r="106" spans="1:9" x14ac:dyDescent="0.25">
      <c r="A106" s="3" t="s">
        <v>107</v>
      </c>
      <c r="B106" s="3">
        <v>3251</v>
      </c>
      <c r="C106" s="3">
        <v>275</v>
      </c>
      <c r="D106" s="4">
        <f t="shared" si="6"/>
        <v>8.4589357120885875E-2</v>
      </c>
      <c r="E106" s="4">
        <f t="shared" si="7"/>
        <v>2.0804761574963906</v>
      </c>
      <c r="F106" s="4">
        <f t="shared" si="8"/>
        <v>7.5507110319298978E-2</v>
      </c>
      <c r="G106" s="4">
        <f t="shared" si="9"/>
        <v>9.4652199430213857E-2</v>
      </c>
      <c r="H106" s="4">
        <f t="shared" si="10"/>
        <v>1.9166125058865937</v>
      </c>
      <c r="I106" s="3">
        <f t="shared" si="11"/>
        <v>2.2426360301782706</v>
      </c>
    </row>
    <row r="107" spans="1:9" x14ac:dyDescent="0.25">
      <c r="A107" s="3" t="s">
        <v>108</v>
      </c>
      <c r="B107" s="3">
        <v>2046</v>
      </c>
      <c r="C107" s="3">
        <v>189</v>
      </c>
      <c r="D107" s="4">
        <f t="shared" si="6"/>
        <v>9.2375366568914957E-2</v>
      </c>
      <c r="E107" s="4">
        <f t="shared" si="7"/>
        <v>2.2075081842504689</v>
      </c>
      <c r="F107" s="4">
        <f t="shared" si="8"/>
        <v>8.0580956757236311E-2</v>
      </c>
      <c r="G107" s="4">
        <f t="shared" si="9"/>
        <v>0.1056976317932156</v>
      </c>
      <c r="H107" s="4">
        <f t="shared" si="10"/>
        <v>2.0104389350562033</v>
      </c>
      <c r="I107" s="3">
        <f t="shared" si="11"/>
        <v>2.4018711476868737</v>
      </c>
    </row>
    <row r="108" spans="1:9" x14ac:dyDescent="0.25">
      <c r="A108" s="3" t="s">
        <v>109</v>
      </c>
      <c r="B108" s="3">
        <v>28</v>
      </c>
      <c r="C108" s="3">
        <v>2</v>
      </c>
      <c r="D108" s="4">
        <f t="shared" si="6"/>
        <v>7.1428571428571425E-2</v>
      </c>
      <c r="E108" s="4">
        <f t="shared" si="7"/>
        <v>1.8365012677171204</v>
      </c>
      <c r="F108" s="4">
        <f t="shared" si="8"/>
        <v>1.9811647447770791E-2</v>
      </c>
      <c r="G108" s="4">
        <f t="shared" si="9"/>
        <v>0.22645738425917861</v>
      </c>
      <c r="H108" s="4">
        <f t="shared" si="10"/>
        <v>-1.3651146733440863E-2</v>
      </c>
      <c r="I108" s="3">
        <f t="shared" si="11"/>
        <v>3.5011676780396037</v>
      </c>
    </row>
    <row r="109" spans="1:9" x14ac:dyDescent="0.25">
      <c r="A109" s="3" t="s">
        <v>110</v>
      </c>
      <c r="B109" s="3">
        <v>2777</v>
      </c>
      <c r="C109" s="3">
        <v>277</v>
      </c>
      <c r="D109" s="4">
        <f t="shared" si="6"/>
        <v>9.9747929420237663E-2</v>
      </c>
      <c r="E109" s="4">
        <f t="shared" si="7"/>
        <v>2.3182868940050669</v>
      </c>
      <c r="F109" s="4">
        <f t="shared" si="8"/>
        <v>8.9149277045126998E-2</v>
      </c>
      <c r="G109" s="4">
        <f t="shared" si="9"/>
        <v>0.11145244007533035</v>
      </c>
      <c r="H109" s="4">
        <f t="shared" si="10"/>
        <v>2.1562230983815192</v>
      </c>
      <c r="I109" s="3">
        <f t="shared" si="11"/>
        <v>2.4783562973624855</v>
      </c>
    </row>
    <row r="110" spans="1:9" x14ac:dyDescent="0.25">
      <c r="A110" s="3" t="s">
        <v>111</v>
      </c>
      <c r="B110" s="3">
        <v>88</v>
      </c>
      <c r="C110" s="3">
        <v>5</v>
      </c>
      <c r="D110" s="4">
        <f t="shared" si="6"/>
        <v>5.6818181818181816E-2</v>
      </c>
      <c r="E110" s="4">
        <f t="shared" si="7"/>
        <v>1.5063526660247897</v>
      </c>
      <c r="F110" s="4">
        <f t="shared" si="8"/>
        <v>2.4510666532829649E-2</v>
      </c>
      <c r="G110" s="4">
        <f t="shared" si="9"/>
        <v>0.12620099354277881</v>
      </c>
      <c r="H110" s="4">
        <f t="shared" si="10"/>
        <v>0.29340971678464178</v>
      </c>
      <c r="I110" s="3">
        <f t="shared" si="11"/>
        <v>2.6576513631602618</v>
      </c>
    </row>
    <row r="111" spans="1:9" x14ac:dyDescent="0.25">
      <c r="A111" s="3" t="s">
        <v>112</v>
      </c>
      <c r="B111" s="3">
        <v>1018</v>
      </c>
      <c r="C111" s="3">
        <v>122</v>
      </c>
      <c r="D111" s="4">
        <f t="shared" si="6"/>
        <v>0.11984282907662082</v>
      </c>
      <c r="E111" s="4">
        <f t="shared" si="7"/>
        <v>2.5830716812619157</v>
      </c>
      <c r="F111" s="4">
        <f t="shared" si="8"/>
        <v>0.10130717475314421</v>
      </c>
      <c r="G111" s="4">
        <f t="shared" si="9"/>
        <v>0.14123687512699376</v>
      </c>
      <c r="H111" s="4">
        <f t="shared" si="10"/>
        <v>2.3406644468569637</v>
      </c>
      <c r="I111" s="3">
        <f t="shared" si="11"/>
        <v>2.8200449017498666</v>
      </c>
    </row>
    <row r="112" spans="1:9" x14ac:dyDescent="0.25">
      <c r="A112" s="3" t="s">
        <v>113</v>
      </c>
      <c r="B112" s="3">
        <v>221</v>
      </c>
      <c r="C112" s="3">
        <v>33</v>
      </c>
      <c r="D112" s="4">
        <f t="shared" si="6"/>
        <v>0.14932126696832579</v>
      </c>
      <c r="E112" s="4">
        <f t="shared" si="7"/>
        <v>2.9003477497417465</v>
      </c>
      <c r="F112" s="4">
        <f t="shared" si="8"/>
        <v>0.10834253982842994</v>
      </c>
      <c r="G112" s="4">
        <f t="shared" si="9"/>
        <v>0.20228325184001578</v>
      </c>
      <c r="H112" s="4">
        <f t="shared" si="10"/>
        <v>2.4375279116962751</v>
      </c>
      <c r="I112" s="3">
        <f t="shared" si="11"/>
        <v>3.3383049709496522</v>
      </c>
    </row>
    <row r="113" spans="1:9" x14ac:dyDescent="0.25">
      <c r="A113" s="3" t="s">
        <v>114</v>
      </c>
      <c r="B113" s="3">
        <v>180</v>
      </c>
      <c r="C113" s="3">
        <v>23</v>
      </c>
      <c r="D113" s="4">
        <f t="shared" si="6"/>
        <v>0.12777777777777777</v>
      </c>
      <c r="E113" s="4">
        <f t="shared" si="7"/>
        <v>2.6755650495020626</v>
      </c>
      <c r="F113" s="4">
        <f t="shared" si="8"/>
        <v>8.6674357643936523E-2</v>
      </c>
      <c r="G113" s="4">
        <f t="shared" si="9"/>
        <v>0.18443729499616232</v>
      </c>
      <c r="H113" s="4">
        <f t="shared" si="10"/>
        <v>2.1156052394483993</v>
      </c>
      <c r="I113" s="3">
        <f t="shared" si="11"/>
        <v>3.2050585069760413</v>
      </c>
    </row>
    <row r="114" spans="1:9" x14ac:dyDescent="0.25">
      <c r="A114" s="3" t="s">
        <v>115</v>
      </c>
      <c r="B114" s="3">
        <v>105</v>
      </c>
      <c r="C114" s="3">
        <v>7</v>
      </c>
      <c r="D114" s="4">
        <f t="shared" si="6"/>
        <v>6.6666666666666666E-2</v>
      </c>
      <c r="E114" s="4">
        <f t="shared" si="7"/>
        <v>1.7369655941662061</v>
      </c>
      <c r="F114" s="4">
        <f t="shared" si="8"/>
        <v>3.2665468928650555E-2</v>
      </c>
      <c r="G114" s="4">
        <f t="shared" si="9"/>
        <v>0.13125714889394666</v>
      </c>
      <c r="H114" s="4">
        <f t="shared" si="10"/>
        <v>0.70776635047479242</v>
      </c>
      <c r="I114" s="3">
        <f t="shared" si="11"/>
        <v>2.7143240958983017</v>
      </c>
    </row>
    <row r="115" spans="1:9" x14ac:dyDescent="0.25">
      <c r="A115" s="3" t="s">
        <v>116</v>
      </c>
      <c r="B115" s="3">
        <v>477</v>
      </c>
      <c r="C115" s="3">
        <v>47</v>
      </c>
      <c r="D115" s="4">
        <f t="shared" si="6"/>
        <v>9.853249475890985E-2</v>
      </c>
      <c r="E115" s="4">
        <f t="shared" si="7"/>
        <v>2.3005995854468506</v>
      </c>
      <c r="F115" s="4">
        <f t="shared" si="8"/>
        <v>7.4908431591726402E-2</v>
      </c>
      <c r="G115" s="4">
        <f t="shared" si="9"/>
        <v>0.12857146698610045</v>
      </c>
      <c r="H115" s="4">
        <f t="shared" si="10"/>
        <v>1.9051281156259621</v>
      </c>
      <c r="I115" s="3">
        <f t="shared" si="11"/>
        <v>2.6844986053215578</v>
      </c>
    </row>
    <row r="116" spans="1:9" x14ac:dyDescent="0.25">
      <c r="A116" s="3" t="s">
        <v>117</v>
      </c>
      <c r="B116" s="3">
        <v>17</v>
      </c>
      <c r="C116" s="3">
        <v>1</v>
      </c>
      <c r="D116" s="4">
        <f t="shared" si="6"/>
        <v>5.8823529411764705E-2</v>
      </c>
      <c r="E116" s="4">
        <f t="shared" si="7"/>
        <v>1.556393348524385</v>
      </c>
      <c r="F116" s="4">
        <f t="shared" si="8"/>
        <v>1.0460130645164236E-2</v>
      </c>
      <c r="G116" s="4">
        <f t="shared" si="9"/>
        <v>0.26982545203562797</v>
      </c>
      <c r="H116" s="4">
        <f t="shared" si="10"/>
        <v>-0.93509912929913164</v>
      </c>
      <c r="I116" s="3">
        <f t="shared" si="11"/>
        <v>3.7539545358113888</v>
      </c>
    </row>
    <row r="117" spans="1:9" x14ac:dyDescent="0.25">
      <c r="A117" s="3" t="s">
        <v>118</v>
      </c>
      <c r="B117" s="3">
        <v>1898</v>
      </c>
      <c r="C117" s="3">
        <v>146</v>
      </c>
      <c r="D117" s="4">
        <f t="shared" si="6"/>
        <v>7.6923076923076927E-2</v>
      </c>
      <c r="E117" s="4">
        <f t="shared" si="7"/>
        <v>1.9434164716336328</v>
      </c>
      <c r="F117" s="4">
        <f t="shared" si="8"/>
        <v>6.5771092695809552E-2</v>
      </c>
      <c r="G117" s="4">
        <f t="shared" si="9"/>
        <v>8.9784238515790829E-2</v>
      </c>
      <c r="H117" s="4">
        <f t="shared" si="10"/>
        <v>1.7174536388557438</v>
      </c>
      <c r="I117" s="3">
        <f t="shared" si="11"/>
        <v>2.1664622043106507</v>
      </c>
    </row>
    <row r="118" spans="1:9" x14ac:dyDescent="0.25">
      <c r="A118" s="3" t="s">
        <v>119</v>
      </c>
      <c r="B118" s="3">
        <v>26</v>
      </c>
      <c r="C118" s="3">
        <v>1</v>
      </c>
      <c r="D118" s="4">
        <f t="shared" si="6"/>
        <v>3.8461538461538464E-2</v>
      </c>
      <c r="E118" s="4">
        <f t="shared" si="7"/>
        <v>0.94341647163363263</v>
      </c>
      <c r="F118" s="4">
        <f t="shared" si="8"/>
        <v>6.8218089769898817E-3</v>
      </c>
      <c r="G118" s="4">
        <f t="shared" si="9"/>
        <v>0.18893176991958402</v>
      </c>
      <c r="H118" s="4">
        <f t="shared" si="10"/>
        <v>-1.5517737374452565</v>
      </c>
      <c r="I118" s="3">
        <f t="shared" si="11"/>
        <v>3.2397934141444638</v>
      </c>
    </row>
    <row r="119" spans="1:9" x14ac:dyDescent="0.25">
      <c r="A119" s="3" t="s">
        <v>120</v>
      </c>
      <c r="B119" s="3">
        <v>497</v>
      </c>
      <c r="C119" s="3">
        <v>34</v>
      </c>
      <c r="D119" s="4">
        <f t="shared" si="6"/>
        <v>6.8410462776659964E-2</v>
      </c>
      <c r="E119" s="4">
        <f t="shared" si="7"/>
        <v>1.7742169894627782</v>
      </c>
      <c r="F119" s="4">
        <f t="shared" si="8"/>
        <v>4.9364895535177034E-2</v>
      </c>
      <c r="G119" s="4">
        <f t="shared" si="9"/>
        <v>9.4076863296357727E-2</v>
      </c>
      <c r="H119" s="4">
        <f t="shared" si="10"/>
        <v>1.3034854741895663</v>
      </c>
      <c r="I119" s="3">
        <f t="shared" si="11"/>
        <v>2.2338399587475148</v>
      </c>
    </row>
    <row r="120" spans="1:9" x14ac:dyDescent="0.25">
      <c r="A120" s="3" t="s">
        <v>121</v>
      </c>
      <c r="B120" s="3">
        <v>150</v>
      </c>
      <c r="C120" s="3">
        <v>10</v>
      </c>
      <c r="D120" s="4">
        <f t="shared" si="6"/>
        <v>6.6666666666666666E-2</v>
      </c>
      <c r="E120" s="4">
        <f t="shared" si="7"/>
        <v>1.7369655941662061</v>
      </c>
      <c r="F120" s="4">
        <f t="shared" si="8"/>
        <v>3.6611460734809718E-2</v>
      </c>
      <c r="G120" s="4">
        <f t="shared" si="9"/>
        <v>0.11836352652481318</v>
      </c>
      <c r="H120" s="4">
        <f t="shared" si="10"/>
        <v>0.87229533586110775</v>
      </c>
      <c r="I120" s="3">
        <f t="shared" si="11"/>
        <v>2.5651526808514293</v>
      </c>
    </row>
    <row r="121" spans="1:9" x14ac:dyDescent="0.25">
      <c r="A121" s="3" t="s">
        <v>122</v>
      </c>
      <c r="B121" s="3">
        <v>209</v>
      </c>
      <c r="C121" s="3">
        <v>18</v>
      </c>
      <c r="D121" s="4">
        <f t="shared" si="6"/>
        <v>8.6124401913875603E-2</v>
      </c>
      <c r="E121" s="4">
        <f t="shared" si="7"/>
        <v>2.1064220591361544</v>
      </c>
      <c r="F121" s="4">
        <f t="shared" si="8"/>
        <v>5.5170629197991018E-2</v>
      </c>
      <c r="G121" s="4">
        <f t="shared" si="9"/>
        <v>0.13201834137918941</v>
      </c>
      <c r="H121" s="4">
        <f t="shared" si="10"/>
        <v>1.463900433899413</v>
      </c>
      <c r="I121" s="3">
        <f t="shared" si="11"/>
        <v>2.7226664727937644</v>
      </c>
    </row>
    <row r="122" spans="1:9" x14ac:dyDescent="0.25">
      <c r="A122" s="3" t="s">
        <v>123</v>
      </c>
      <c r="B122" s="3">
        <v>3151</v>
      </c>
      <c r="C122" s="3">
        <v>276</v>
      </c>
      <c r="D122" s="4">
        <f t="shared" si="6"/>
        <v>8.7591240875912413E-2</v>
      </c>
      <c r="E122" s="4">
        <f t="shared" si="7"/>
        <v>2.1307866075353541</v>
      </c>
      <c r="F122" s="4">
        <f t="shared" si="8"/>
        <v>7.821575812590835E-2</v>
      </c>
      <c r="G122" s="4">
        <f t="shared" si="9"/>
        <v>9.7971090684504186E-2</v>
      </c>
      <c r="H122" s="4">
        <f t="shared" si="10"/>
        <v>1.9674592965329047</v>
      </c>
      <c r="I122" s="3">
        <f t="shared" si="11"/>
        <v>2.2923561014829854</v>
      </c>
    </row>
    <row r="123" spans="1:9" x14ac:dyDescent="0.25">
      <c r="A123" s="3" t="s">
        <v>124</v>
      </c>
      <c r="B123" s="3">
        <v>16</v>
      </c>
      <c r="C123" s="3">
        <v>9</v>
      </c>
      <c r="D123" s="4">
        <f t="shared" si="6"/>
        <v>0.5625</v>
      </c>
      <c r="E123" s="4">
        <f t="shared" si="7"/>
        <v>4.8137811912170374</v>
      </c>
      <c r="F123" s="4">
        <f t="shared" si="8"/>
        <v>0.33178195606776523</v>
      </c>
      <c r="G123" s="4">
        <f t="shared" si="9"/>
        <v>0.76901636664814488</v>
      </c>
      <c r="H123" s="4">
        <f t="shared" si="10"/>
        <v>4.0521635224728456</v>
      </c>
      <c r="I123" s="3">
        <f t="shared" si="11"/>
        <v>5.2649423976659468</v>
      </c>
    </row>
    <row r="124" spans="1:9" x14ac:dyDescent="0.25">
      <c r="A124" s="3" t="s">
        <v>125</v>
      </c>
      <c r="B124" s="3">
        <v>2547</v>
      </c>
      <c r="C124" s="3">
        <v>305</v>
      </c>
      <c r="D124" s="4">
        <f t="shared" si="6"/>
        <v>0.11974872398900667</v>
      </c>
      <c r="E124" s="4">
        <f t="shared" si="7"/>
        <v>2.5819383779507787</v>
      </c>
      <c r="F124" s="4">
        <f t="shared" si="8"/>
        <v>0.1077088858158395</v>
      </c>
      <c r="G124" s="4">
        <f t="shared" si="9"/>
        <v>0.13293388871002676</v>
      </c>
      <c r="H124" s="4">
        <f t="shared" si="10"/>
        <v>2.4290653697800311</v>
      </c>
      <c r="I124" s="3">
        <f t="shared" si="11"/>
        <v>2.7326370312658637</v>
      </c>
    </row>
    <row r="125" spans="1:9" x14ac:dyDescent="0.25">
      <c r="A125" s="3" t="s">
        <v>126</v>
      </c>
      <c r="B125" s="3">
        <v>705</v>
      </c>
      <c r="C125" s="3">
        <v>70</v>
      </c>
      <c r="D125" s="4">
        <f t="shared" si="6"/>
        <v>9.9290780141843976E-2</v>
      </c>
      <c r="E125" s="4">
        <f t="shared" si="7"/>
        <v>2.3116597594335357</v>
      </c>
      <c r="F125" s="4">
        <f t="shared" si="8"/>
        <v>7.9340108548933169E-2</v>
      </c>
      <c r="G125" s="4">
        <f t="shared" si="9"/>
        <v>0.12358477622080946</v>
      </c>
      <c r="H125" s="4">
        <f t="shared" si="10"/>
        <v>1.9880503713034665</v>
      </c>
      <c r="I125" s="3">
        <f t="shared" si="11"/>
        <v>2.6274291308201194</v>
      </c>
    </row>
    <row r="126" spans="1:9" x14ac:dyDescent="0.25">
      <c r="A126" s="3" t="s">
        <v>127</v>
      </c>
      <c r="B126" s="3">
        <v>3893</v>
      </c>
      <c r="C126" s="3">
        <v>357</v>
      </c>
      <c r="D126" s="4">
        <f t="shared" si="6"/>
        <v>9.1703056768558958E-2</v>
      </c>
      <c r="E126" s="4">
        <f t="shared" si="7"/>
        <v>2.196969824456541</v>
      </c>
      <c r="F126" s="4">
        <f t="shared" si="8"/>
        <v>8.3035017202575542E-2</v>
      </c>
      <c r="G126" s="4">
        <f t="shared" si="9"/>
        <v>0.10117611419162843</v>
      </c>
      <c r="H126" s="4">
        <f t="shared" si="10"/>
        <v>2.0537198724913193</v>
      </c>
      <c r="I126" s="3">
        <f t="shared" si="11"/>
        <v>2.3387968315140322</v>
      </c>
    </row>
    <row r="127" spans="1:9" x14ac:dyDescent="0.25">
      <c r="A127" s="3" t="s">
        <v>128</v>
      </c>
      <c r="B127" s="3">
        <v>560</v>
      </c>
      <c r="C127" s="3">
        <v>78</v>
      </c>
      <c r="D127" s="4">
        <f t="shared" si="6"/>
        <v>0.13928571428571429</v>
      </c>
      <c r="E127" s="4">
        <f t="shared" si="7"/>
        <v>2.7999753916920067</v>
      </c>
      <c r="F127" s="4">
        <f t="shared" si="8"/>
        <v>0.11305800693525823</v>
      </c>
      <c r="G127" s="4">
        <f t="shared" si="9"/>
        <v>0.1704287028073361</v>
      </c>
      <c r="H127" s="4">
        <f t="shared" si="10"/>
        <v>2.4989912643914938</v>
      </c>
      <c r="I127" s="3">
        <f t="shared" si="11"/>
        <v>3.0910964228843225</v>
      </c>
    </row>
    <row r="128" spans="1:9" x14ac:dyDescent="0.25">
      <c r="A128" s="3" t="s">
        <v>129</v>
      </c>
      <c r="B128" s="3">
        <v>37</v>
      </c>
      <c r="C128" s="3">
        <v>3</v>
      </c>
      <c r="D128" s="4">
        <f t="shared" si="6"/>
        <v>8.1081081081081086E-2</v>
      </c>
      <c r="E128" s="4">
        <f t="shared" si="7"/>
        <v>2.0193653248669312</v>
      </c>
      <c r="F128" s="4">
        <f t="shared" si="8"/>
        <v>2.7960066396321391E-2</v>
      </c>
      <c r="G128" s="4">
        <f t="shared" si="9"/>
        <v>0.21300992498501531</v>
      </c>
      <c r="H128" s="4">
        <f t="shared" si="10"/>
        <v>0.48336778666220015</v>
      </c>
      <c r="I128" s="3">
        <f t="shared" si="11"/>
        <v>3.4128487478411702</v>
      </c>
    </row>
    <row r="129" spans="1:9" x14ac:dyDescent="0.25">
      <c r="A129" s="3" t="s">
        <v>130</v>
      </c>
      <c r="B129" s="3">
        <v>229</v>
      </c>
      <c r="C129" s="3">
        <v>29</v>
      </c>
      <c r="D129" s="4">
        <f t="shared" si="6"/>
        <v>0.12663755458515283</v>
      </c>
      <c r="E129" s="4">
        <f t="shared" si="7"/>
        <v>2.662633396805353</v>
      </c>
      <c r="F129" s="4">
        <f t="shared" si="8"/>
        <v>8.9638361020477272E-2</v>
      </c>
      <c r="G129" s="4">
        <f t="shared" si="9"/>
        <v>0.17595679036140638</v>
      </c>
      <c r="H129" s="4">
        <f t="shared" si="10"/>
        <v>2.1641162703426557</v>
      </c>
      <c r="I129" s="3">
        <f t="shared" si="11"/>
        <v>3.1371492851994196</v>
      </c>
    </row>
    <row r="130" spans="1:9" x14ac:dyDescent="0.25">
      <c r="A130" s="3" t="s">
        <v>131</v>
      </c>
      <c r="B130" s="3">
        <v>38</v>
      </c>
      <c r="C130" s="3">
        <v>4</v>
      </c>
      <c r="D130" s="4">
        <f t="shared" si="6"/>
        <v>0.10526315789473684</v>
      </c>
      <c r="E130" s="4">
        <f t="shared" si="7"/>
        <v>2.3959286763311392</v>
      </c>
      <c r="F130" s="4">
        <f t="shared" si="8"/>
        <v>4.1701897932665807E-2</v>
      </c>
      <c r="G130" s="4">
        <f t="shared" si="9"/>
        <v>0.24130831200194469</v>
      </c>
      <c r="H130" s="4">
        <f t="shared" si="10"/>
        <v>1.0601130449585487</v>
      </c>
      <c r="I130" s="3">
        <f t="shared" si="11"/>
        <v>3.5928057057475038</v>
      </c>
    </row>
    <row r="131" spans="1:9" x14ac:dyDescent="0.25">
      <c r="A131" s="3" t="s">
        <v>132</v>
      </c>
      <c r="B131" s="3">
        <v>214</v>
      </c>
      <c r="C131" s="3">
        <v>49</v>
      </c>
      <c r="D131" s="4">
        <f t="shared" ref="D131:D194" si="12">IF(C131=0,"NaN",C131/B131)</f>
        <v>0.22897196261682243</v>
      </c>
      <c r="E131" s="4">
        <f t="shared" ref="E131:E194" si="13">IF(C131=0,"NaN",LN(D131/0.02)/LN(2))</f>
        <v>3.5170990474887862</v>
      </c>
      <c r="F131" s="4">
        <f t="shared" ref="F131:F194" si="14">IF(C131=0,"NaN",_xlfn.LET(_xlpm.N,B131,_xlpm.X,C131,_xlpm.p,_xlpm.X/_xlpm.N,_xlpm.z,1.96,(_xlpm.p+_xlpm.z^2/(2*_xlpm.N)-_xlpm.z*SQRT(_xlpm.p*(1-_xlpm.p)/_xlpm.N+_xlpm.z^2/(4*_xlpm.N^2)))/(1+_xlpm.z^2/_xlpm.N))
)</f>
        <v>0.17775003013759469</v>
      </c>
      <c r="G131" s="4">
        <f t="shared" ref="G131:G194" si="15">IF(C131=0,"NaN",_xlfn.LET(_xlpm.N,B131,_xlpm.X,C131,_xlpm.p,_xlpm.X/_xlpm.N,_xlpm.z,1.96,(_xlpm.p+_xlpm.z^2/(2*_xlpm.N)+_xlpm.z*SQRT(_xlpm.p*(1-_xlpm.p)/_xlpm.N+_xlpm.z^2/(4*_xlpm.N^2)))/(1+_xlpm.z^2/_xlpm.N)))</f>
        <v>0.28975296286282398</v>
      </c>
      <c r="H131" s="4">
        <f t="shared" ref="H131:H194" si="16">IF(C131=0,"NaN",LN(F131/0.02)/LN(2))</f>
        <v>3.1517778993416434</v>
      </c>
      <c r="I131" s="3">
        <f t="shared" ref="I131:I194" si="17">IF(C131=0,"NaN",LN(G131/0.02)/LN(2))</f>
        <v>3.8567515084423141</v>
      </c>
    </row>
    <row r="132" spans="1:9" x14ac:dyDescent="0.25">
      <c r="A132" s="3" t="s">
        <v>133</v>
      </c>
      <c r="B132" s="3">
        <v>30</v>
      </c>
      <c r="C132" s="3">
        <v>1</v>
      </c>
      <c r="D132" s="4">
        <f t="shared" si="12"/>
        <v>3.3333333333333333E-2</v>
      </c>
      <c r="E132" s="4">
        <f t="shared" si="13"/>
        <v>0.73696559416620611</v>
      </c>
      <c r="F132" s="4">
        <f t="shared" si="14"/>
        <v>5.9084379948573813E-3</v>
      </c>
      <c r="G132" s="4">
        <f t="shared" si="15"/>
        <v>0.16670751396958874</v>
      </c>
      <c r="H132" s="4">
        <f t="shared" si="16"/>
        <v>-1.7591513172635262</v>
      </c>
      <c r="I132" s="3">
        <f t="shared" si="17"/>
        <v>3.0592472269402866</v>
      </c>
    </row>
    <row r="133" spans="1:9" x14ac:dyDescent="0.25">
      <c r="A133" s="3" t="s">
        <v>134</v>
      </c>
      <c r="B133" s="3">
        <v>63</v>
      </c>
      <c r="C133" s="3">
        <v>11</v>
      </c>
      <c r="D133" s="4">
        <f t="shared" si="12"/>
        <v>0.17460317460317459</v>
      </c>
      <c r="E133" s="4">
        <f t="shared" si="13"/>
        <v>3.1260078849121054</v>
      </c>
      <c r="F133" s="4">
        <f t="shared" si="14"/>
        <v>0.10039293923176863</v>
      </c>
      <c r="G133" s="4">
        <f t="shared" si="15"/>
        <v>0.28621659734425586</v>
      </c>
      <c r="H133" s="4">
        <f t="shared" si="16"/>
        <v>2.3275859010931779</v>
      </c>
      <c r="I133" s="3">
        <f t="shared" si="17"/>
        <v>3.839035429467557</v>
      </c>
    </row>
    <row r="134" spans="1:9" x14ac:dyDescent="0.25">
      <c r="A134" s="3" t="s">
        <v>135</v>
      </c>
      <c r="B134" s="3">
        <v>40</v>
      </c>
      <c r="C134" s="3">
        <v>3</v>
      </c>
      <c r="D134" s="4">
        <f t="shared" si="12"/>
        <v>7.4999999999999997E-2</v>
      </c>
      <c r="E134" s="4">
        <f t="shared" si="13"/>
        <v>1.9068905956085187</v>
      </c>
      <c r="F134" s="4">
        <f t="shared" si="14"/>
        <v>2.5835556771858229E-2</v>
      </c>
      <c r="G134" s="4">
        <f t="shared" si="15"/>
        <v>0.19864530159097524</v>
      </c>
      <c r="H134" s="4">
        <f t="shared" si="16"/>
        <v>0.36935797504759738</v>
      </c>
      <c r="I134" s="3">
        <f t="shared" si="17"/>
        <v>3.3121227657281174</v>
      </c>
    </row>
    <row r="135" spans="1:9" x14ac:dyDescent="0.25">
      <c r="A135" s="3" t="s">
        <v>136</v>
      </c>
      <c r="B135" s="3">
        <v>20</v>
      </c>
      <c r="C135" s="3">
        <v>1</v>
      </c>
      <c r="D135" s="4">
        <f t="shared" si="12"/>
        <v>0.05</v>
      </c>
      <c r="E135" s="4">
        <f t="shared" si="13"/>
        <v>1.3219280948873624</v>
      </c>
      <c r="F135" s="4">
        <f t="shared" si="14"/>
        <v>8.8812194328731428E-3</v>
      </c>
      <c r="G135" s="4">
        <f t="shared" si="15"/>
        <v>0.23613589351256678</v>
      </c>
      <c r="H135" s="4">
        <f t="shared" si="16"/>
        <v>-1.1711703159499001</v>
      </c>
      <c r="I135" s="3">
        <f t="shared" si="17"/>
        <v>3.5615454480030455</v>
      </c>
    </row>
    <row r="136" spans="1:9" x14ac:dyDescent="0.25">
      <c r="A136" s="3" t="s">
        <v>137</v>
      </c>
      <c r="B136" s="3">
        <v>94</v>
      </c>
      <c r="C136" s="3">
        <v>9</v>
      </c>
      <c r="D136" s="4">
        <f t="shared" si="12"/>
        <v>9.5744680851063829E-2</v>
      </c>
      <c r="E136" s="4">
        <f t="shared" si="13"/>
        <v>2.2591923395393998</v>
      </c>
      <c r="F136" s="4">
        <f t="shared" si="14"/>
        <v>5.1191380830443195E-2</v>
      </c>
      <c r="G136" s="4">
        <f t="shared" si="15"/>
        <v>0.17204290806098951</v>
      </c>
      <c r="H136" s="4">
        <f t="shared" si="16"/>
        <v>1.3559009219449396</v>
      </c>
      <c r="I136" s="3">
        <f t="shared" si="17"/>
        <v>3.1046965175282608</v>
      </c>
    </row>
    <row r="137" spans="1:9" x14ac:dyDescent="0.25">
      <c r="A137" s="3" t="s">
        <v>138</v>
      </c>
      <c r="B137" s="3">
        <v>71</v>
      </c>
      <c r="C137" s="3">
        <v>6</v>
      </c>
      <c r="D137" s="4">
        <f t="shared" si="12"/>
        <v>8.4507042253521125E-2</v>
      </c>
      <c r="E137" s="4">
        <f t="shared" si="13"/>
        <v>2.0790715709911987</v>
      </c>
      <c r="F137" s="4">
        <f t="shared" si="14"/>
        <v>3.9305972354112026E-2</v>
      </c>
      <c r="G137" s="4">
        <f t="shared" si="15"/>
        <v>0.17236240459133009</v>
      </c>
      <c r="H137" s="4">
        <f t="shared" si="16"/>
        <v>0.97474853973642728</v>
      </c>
      <c r="I137" s="3">
        <f t="shared" si="17"/>
        <v>3.1073732253210551</v>
      </c>
    </row>
    <row r="138" spans="1:9" x14ac:dyDescent="0.25">
      <c r="A138" s="3" t="s">
        <v>139</v>
      </c>
      <c r="B138" s="3">
        <v>401</v>
      </c>
      <c r="C138" s="3">
        <v>30</v>
      </c>
      <c r="D138" s="4">
        <f t="shared" si="12"/>
        <v>7.4812967581047385E-2</v>
      </c>
      <c r="E138" s="4">
        <f t="shared" si="13"/>
        <v>1.9032883589283232</v>
      </c>
      <c r="F138" s="4">
        <f t="shared" si="14"/>
        <v>5.2903863770059317E-2</v>
      </c>
      <c r="G138" s="4">
        <f t="shared" si="15"/>
        <v>0.10479139284388549</v>
      </c>
      <c r="H138" s="4">
        <f t="shared" si="16"/>
        <v>1.4033730916841922</v>
      </c>
      <c r="I138" s="3">
        <f t="shared" si="17"/>
        <v>2.3894483192876192</v>
      </c>
    </row>
    <row r="139" spans="1:9" x14ac:dyDescent="0.25">
      <c r="A139" s="3" t="s">
        <v>140</v>
      </c>
      <c r="B139" s="3">
        <v>113</v>
      </c>
      <c r="C139" s="3">
        <v>11</v>
      </c>
      <c r="D139" s="4">
        <f t="shared" si="12"/>
        <v>9.7345132743362831E-2</v>
      </c>
      <c r="E139" s="4">
        <f t="shared" si="13"/>
        <v>2.2831088459968343</v>
      </c>
      <c r="F139" s="4">
        <f t="shared" si="14"/>
        <v>5.5227913155333534E-2</v>
      </c>
      <c r="G139" s="4">
        <f t="shared" si="15"/>
        <v>0.16593989009282467</v>
      </c>
      <c r="H139" s="4">
        <f t="shared" si="16"/>
        <v>1.4653976146924887</v>
      </c>
      <c r="I139" s="3">
        <f t="shared" si="17"/>
        <v>3.052588830617232</v>
      </c>
    </row>
    <row r="140" spans="1:9" x14ac:dyDescent="0.25">
      <c r="A140" s="3" t="s">
        <v>141</v>
      </c>
      <c r="B140" s="3">
        <v>115</v>
      </c>
      <c r="C140" s="3">
        <v>8</v>
      </c>
      <c r="D140" s="4">
        <f t="shared" si="12"/>
        <v>6.9565217391304349E-2</v>
      </c>
      <c r="E140" s="4">
        <f t="shared" si="13"/>
        <v>1.7983661388303496</v>
      </c>
      <c r="F140" s="4">
        <f t="shared" si="14"/>
        <v>3.5668226464779712E-2</v>
      </c>
      <c r="G140" s="4">
        <f t="shared" si="15"/>
        <v>0.13129014501456759</v>
      </c>
      <c r="H140" s="4">
        <f t="shared" si="16"/>
        <v>0.83463948230097884</v>
      </c>
      <c r="I140" s="3">
        <f t="shared" si="17"/>
        <v>2.7146867226778837</v>
      </c>
    </row>
    <row r="141" spans="1:9" x14ac:dyDescent="0.25">
      <c r="A141" s="3" t="s">
        <v>142</v>
      </c>
      <c r="B141" s="3">
        <v>194</v>
      </c>
      <c r="C141" s="3">
        <v>22</v>
      </c>
      <c r="D141" s="4">
        <f t="shared" si="12"/>
        <v>0.1134020618556701</v>
      </c>
      <c r="E141" s="4">
        <f t="shared" si="13"/>
        <v>2.5033749662248943</v>
      </c>
      <c r="F141" s="4">
        <f t="shared" si="14"/>
        <v>7.6091081210689429E-2</v>
      </c>
      <c r="G141" s="4">
        <f t="shared" si="15"/>
        <v>0.1657266153708182</v>
      </c>
      <c r="H141" s="4">
        <f t="shared" si="16"/>
        <v>1.9277273624388256</v>
      </c>
      <c r="I141" s="3">
        <f t="shared" si="17"/>
        <v>3.0507334100599732</v>
      </c>
    </row>
    <row r="142" spans="1:9" x14ac:dyDescent="0.25">
      <c r="A142" s="3" t="s">
        <v>143</v>
      </c>
      <c r="B142" s="3">
        <v>80</v>
      </c>
      <c r="C142" s="3">
        <v>7</v>
      </c>
      <c r="D142" s="4">
        <f t="shared" si="12"/>
        <v>8.7499999999999994E-2</v>
      </c>
      <c r="E142" s="4">
        <f t="shared" si="13"/>
        <v>2.1292830169449664</v>
      </c>
      <c r="F142" s="4">
        <f t="shared" si="14"/>
        <v>4.3031454647439876E-2</v>
      </c>
      <c r="G142" s="4">
        <f t="shared" si="15"/>
        <v>0.16976982777083457</v>
      </c>
      <c r="H142" s="4">
        <f t="shared" si="16"/>
        <v>1.1053916103809547</v>
      </c>
      <c r="I142" s="3">
        <f t="shared" si="17"/>
        <v>3.0855081745482167</v>
      </c>
    </row>
    <row r="143" spans="1:9" x14ac:dyDescent="0.25">
      <c r="A143" s="3" t="s">
        <v>144</v>
      </c>
      <c r="B143" s="3">
        <v>70</v>
      </c>
      <c r="C143" s="3">
        <v>16</v>
      </c>
      <c r="D143" s="4">
        <f t="shared" si="12"/>
        <v>0.22857142857142856</v>
      </c>
      <c r="E143" s="4">
        <f t="shared" si="13"/>
        <v>3.514573172829758</v>
      </c>
      <c r="F143" s="4">
        <f t="shared" si="14"/>
        <v>0.14587940188627677</v>
      </c>
      <c r="G143" s="4">
        <f t="shared" si="15"/>
        <v>0.33950553018453422</v>
      </c>
      <c r="H143" s="4">
        <f t="shared" si="16"/>
        <v>2.8667042845556314</v>
      </c>
      <c r="I143" s="3">
        <f t="shared" si="17"/>
        <v>4.0853631695188497</v>
      </c>
    </row>
    <row r="144" spans="1:9" x14ac:dyDescent="0.25">
      <c r="A144" s="3" t="s">
        <v>145</v>
      </c>
      <c r="B144" s="3">
        <v>2258</v>
      </c>
      <c r="C144" s="3">
        <v>224</v>
      </c>
      <c r="D144" s="4">
        <f t="shared" si="12"/>
        <v>9.9202834366696191E-2</v>
      </c>
      <c r="E144" s="4">
        <f t="shared" si="13"/>
        <v>2.3103813410593279</v>
      </c>
      <c r="F144" s="4">
        <f t="shared" si="14"/>
        <v>8.7545060179736414E-2</v>
      </c>
      <c r="G144" s="4">
        <f t="shared" si="15"/>
        <v>0.1122220676332811</v>
      </c>
      <c r="H144" s="4">
        <f t="shared" si="16"/>
        <v>2.1300257754006062</v>
      </c>
      <c r="I144" s="3">
        <f t="shared" si="17"/>
        <v>2.4882844939593132</v>
      </c>
    </row>
    <row r="145" spans="1:9" x14ac:dyDescent="0.25">
      <c r="A145" s="3" t="s">
        <v>146</v>
      </c>
      <c r="B145" s="3">
        <v>19</v>
      </c>
      <c r="C145" s="3">
        <v>0</v>
      </c>
      <c r="D145" s="4" t="str">
        <f t="shared" si="12"/>
        <v>NaN</v>
      </c>
      <c r="E145" s="4" t="str">
        <f t="shared" si="13"/>
        <v>NaN</v>
      </c>
      <c r="F145" s="4" t="str">
        <f t="shared" si="14"/>
        <v>NaN</v>
      </c>
      <c r="G145" s="4" t="str">
        <f t="shared" si="15"/>
        <v>NaN</v>
      </c>
      <c r="H145" s="4" t="str">
        <f t="shared" si="16"/>
        <v>NaN</v>
      </c>
      <c r="I145" s="3" t="str">
        <f t="shared" si="17"/>
        <v>NaN</v>
      </c>
    </row>
    <row r="146" spans="1:9" x14ac:dyDescent="0.25">
      <c r="A146" s="3" t="s">
        <v>147</v>
      </c>
      <c r="B146" s="3">
        <v>1180</v>
      </c>
      <c r="C146" s="3">
        <v>101</v>
      </c>
      <c r="D146" s="4">
        <f t="shared" si="12"/>
        <v>8.5593220338983048E-2</v>
      </c>
      <c r="E146" s="4">
        <f t="shared" si="13"/>
        <v>2.0974965282773157</v>
      </c>
      <c r="F146" s="4">
        <f t="shared" si="14"/>
        <v>7.0944636252402729E-2</v>
      </c>
      <c r="G146" s="4">
        <f t="shared" si="15"/>
        <v>0.10293132823473809</v>
      </c>
      <c r="H146" s="4">
        <f t="shared" si="16"/>
        <v>1.8266936138901133</v>
      </c>
      <c r="I146" s="3">
        <f t="shared" si="17"/>
        <v>2.3636102433980901</v>
      </c>
    </row>
    <row r="147" spans="1:9" x14ac:dyDescent="0.25">
      <c r="A147" s="3" t="s">
        <v>148</v>
      </c>
      <c r="B147" s="3">
        <v>30</v>
      </c>
      <c r="C147" s="3">
        <v>4</v>
      </c>
      <c r="D147" s="4">
        <f t="shared" si="12"/>
        <v>0.13333333333333333</v>
      </c>
      <c r="E147" s="4">
        <f t="shared" si="13"/>
        <v>2.7369655941662061</v>
      </c>
      <c r="F147" s="4">
        <f t="shared" si="14"/>
        <v>5.3095694242181038E-2</v>
      </c>
      <c r="G147" s="4">
        <f t="shared" si="15"/>
        <v>0.29681683944416948</v>
      </c>
      <c r="H147" s="4">
        <f t="shared" si="16"/>
        <v>1.4085948714377057</v>
      </c>
      <c r="I147" s="3">
        <f t="shared" si="17"/>
        <v>3.8915010382390545</v>
      </c>
    </row>
    <row r="148" spans="1:9" x14ac:dyDescent="0.25">
      <c r="A148" s="3" t="s">
        <v>149</v>
      </c>
      <c r="B148" s="3">
        <v>126</v>
      </c>
      <c r="C148" s="3">
        <v>4</v>
      </c>
      <c r="D148" s="4">
        <f t="shared" si="12"/>
        <v>3.1746031746031744E-2</v>
      </c>
      <c r="E148" s="4">
        <f t="shared" si="13"/>
        <v>0.66657626627480815</v>
      </c>
      <c r="F148" s="4">
        <f t="shared" si="14"/>
        <v>1.2413078146214646E-2</v>
      </c>
      <c r="G148" s="4">
        <f t="shared" si="15"/>
        <v>7.8787276747748464E-2</v>
      </c>
      <c r="H148" s="4">
        <f t="shared" si="16"/>
        <v>-0.68813908633477816</v>
      </c>
      <c r="I148" s="3">
        <f t="shared" si="17"/>
        <v>1.9779626695931727</v>
      </c>
    </row>
    <row r="149" spans="1:9" x14ac:dyDescent="0.25">
      <c r="A149" s="3" t="s">
        <v>150</v>
      </c>
      <c r="B149" s="3">
        <v>26</v>
      </c>
      <c r="C149" s="3">
        <v>8</v>
      </c>
      <c r="D149" s="4">
        <f t="shared" si="12"/>
        <v>0.30769230769230771</v>
      </c>
      <c r="E149" s="4">
        <f t="shared" si="13"/>
        <v>3.9434164716336326</v>
      </c>
      <c r="F149" s="4">
        <f t="shared" si="14"/>
        <v>0.16501120939792671</v>
      </c>
      <c r="G149" s="4">
        <f t="shared" si="15"/>
        <v>0.4998861151423124</v>
      </c>
      <c r="H149" s="4">
        <f t="shared" si="16"/>
        <v>3.0444921265918197</v>
      </c>
      <c r="I149" s="3">
        <f t="shared" si="17"/>
        <v>4.6435275501073852</v>
      </c>
    </row>
    <row r="150" spans="1:9" x14ac:dyDescent="0.25">
      <c r="A150" s="3" t="s">
        <v>151</v>
      </c>
      <c r="B150" s="3">
        <v>113</v>
      </c>
      <c r="C150" s="3">
        <v>14</v>
      </c>
      <c r="D150" s="4">
        <f t="shared" si="12"/>
        <v>0.12389380530973451</v>
      </c>
      <c r="E150" s="4">
        <f t="shared" si="13"/>
        <v>2.6310321494171411</v>
      </c>
      <c r="F150" s="4">
        <f t="shared" si="14"/>
        <v>7.5253909585459314E-2</v>
      </c>
      <c r="G150" s="4">
        <f t="shared" si="15"/>
        <v>0.19726546707490825</v>
      </c>
      <c r="H150" s="4">
        <f t="shared" si="16"/>
        <v>1.9117665346037456</v>
      </c>
      <c r="I150" s="3">
        <f t="shared" si="17"/>
        <v>3.3020665175465891</v>
      </c>
    </row>
    <row r="151" spans="1:9" x14ac:dyDescent="0.25">
      <c r="A151" s="3" t="s">
        <v>152</v>
      </c>
      <c r="B151" s="3">
        <v>15</v>
      </c>
      <c r="C151" s="3">
        <v>0</v>
      </c>
      <c r="D151" s="4" t="str">
        <f t="shared" si="12"/>
        <v>NaN</v>
      </c>
      <c r="E151" s="4" t="str">
        <f t="shared" si="13"/>
        <v>NaN</v>
      </c>
      <c r="F151" s="4" t="str">
        <f t="shared" si="14"/>
        <v>NaN</v>
      </c>
      <c r="G151" s="4" t="str">
        <f t="shared" si="15"/>
        <v>NaN</v>
      </c>
      <c r="H151" s="4" t="str">
        <f t="shared" si="16"/>
        <v>NaN</v>
      </c>
      <c r="I151" s="3" t="str">
        <f t="shared" si="17"/>
        <v>NaN</v>
      </c>
    </row>
    <row r="152" spans="1:9" x14ac:dyDescent="0.25">
      <c r="A152" s="3" t="s">
        <v>153</v>
      </c>
      <c r="B152" s="3">
        <v>73</v>
      </c>
      <c r="C152" s="3">
        <v>8</v>
      </c>
      <c r="D152" s="4">
        <f t="shared" si="12"/>
        <v>0.1095890410958904</v>
      </c>
      <c r="E152" s="4">
        <f t="shared" si="13"/>
        <v>2.4540316308947072</v>
      </c>
      <c r="F152" s="4">
        <f t="shared" si="14"/>
        <v>5.6586041610119077E-2</v>
      </c>
      <c r="G152" s="4">
        <f t="shared" si="15"/>
        <v>0.20162825897706282</v>
      </c>
      <c r="H152" s="4">
        <f t="shared" si="16"/>
        <v>1.5004462194282819</v>
      </c>
      <c r="I152" s="3">
        <f t="shared" si="17"/>
        <v>3.3336259471625103</v>
      </c>
    </row>
    <row r="153" spans="1:9" x14ac:dyDescent="0.25">
      <c r="A153" s="3" t="s">
        <v>154</v>
      </c>
      <c r="B153" s="3">
        <v>138</v>
      </c>
      <c r="C153" s="3">
        <v>14</v>
      </c>
      <c r="D153" s="4">
        <f t="shared" si="12"/>
        <v>0.10144927536231885</v>
      </c>
      <c r="E153" s="4">
        <f t="shared" si="13"/>
        <v>2.3426866550541598</v>
      </c>
      <c r="F153" s="4">
        <f t="shared" si="14"/>
        <v>6.139672581345134E-2</v>
      </c>
      <c r="G153" s="4">
        <f t="shared" si="15"/>
        <v>0.16309030760974749</v>
      </c>
      <c r="H153" s="4">
        <f t="shared" si="16"/>
        <v>1.6181617210898069</v>
      </c>
      <c r="I153" s="3">
        <f t="shared" si="17"/>
        <v>3.0275991407087708</v>
      </c>
    </row>
    <row r="154" spans="1:9" x14ac:dyDescent="0.25">
      <c r="A154" s="3" t="s">
        <v>155</v>
      </c>
      <c r="B154" s="3">
        <v>271</v>
      </c>
      <c r="C154" s="3">
        <v>22</v>
      </c>
      <c r="D154" s="4">
        <f t="shared" si="12"/>
        <v>8.1180811808118078E-2</v>
      </c>
      <c r="E154" s="4">
        <f t="shared" si="13"/>
        <v>2.0211387670581504</v>
      </c>
      <c r="F154" s="4">
        <f t="shared" si="14"/>
        <v>5.4219332082361314E-2</v>
      </c>
      <c r="G154" s="4">
        <f t="shared" si="15"/>
        <v>0.11985038662106641</v>
      </c>
      <c r="H154" s="4">
        <f t="shared" si="16"/>
        <v>1.4388073409993016</v>
      </c>
      <c r="I154" s="3">
        <f t="shared" si="17"/>
        <v>2.5831626578201368</v>
      </c>
    </row>
    <row r="155" spans="1:9" x14ac:dyDescent="0.25">
      <c r="A155" s="3" t="s">
        <v>156</v>
      </c>
      <c r="B155" s="3">
        <v>357</v>
      </c>
      <c r="C155" s="3">
        <v>36</v>
      </c>
      <c r="D155" s="4">
        <f t="shared" si="12"/>
        <v>0.10084033613445378</v>
      </c>
      <c r="E155" s="4">
        <f t="shared" si="13"/>
        <v>2.3340009271879372</v>
      </c>
      <c r="F155" s="4">
        <f t="shared" si="14"/>
        <v>7.3731175772187255E-2</v>
      </c>
      <c r="G155" s="4">
        <f t="shared" si="15"/>
        <v>0.13644858177239744</v>
      </c>
      <c r="H155" s="4">
        <f t="shared" si="16"/>
        <v>1.8822747634416985</v>
      </c>
      <c r="I155" s="3">
        <f t="shared" si="17"/>
        <v>2.7702854944055182</v>
      </c>
    </row>
    <row r="156" spans="1:9" x14ac:dyDescent="0.25">
      <c r="A156" s="3" t="s">
        <v>157</v>
      </c>
      <c r="B156" s="3">
        <v>51</v>
      </c>
      <c r="C156" s="3">
        <v>3</v>
      </c>
      <c r="D156" s="4">
        <f t="shared" si="12"/>
        <v>5.8823529411764705E-2</v>
      </c>
      <c r="E156" s="4">
        <f t="shared" si="13"/>
        <v>1.556393348524385</v>
      </c>
      <c r="F156" s="4">
        <f t="shared" si="14"/>
        <v>2.0206272864052074E-2</v>
      </c>
      <c r="G156" s="4">
        <f t="shared" si="15"/>
        <v>0.15924873938941972</v>
      </c>
      <c r="H156" s="4">
        <f t="shared" si="16"/>
        <v>1.4803234808441009E-2</v>
      </c>
      <c r="I156" s="3">
        <f t="shared" si="17"/>
        <v>2.9932100470623073</v>
      </c>
    </row>
    <row r="157" spans="1:9" x14ac:dyDescent="0.25">
      <c r="A157" s="3" t="s">
        <v>158</v>
      </c>
      <c r="B157" s="3">
        <v>293</v>
      </c>
      <c r="C157" s="3">
        <v>27</v>
      </c>
      <c r="D157" s="4">
        <f t="shared" si="12"/>
        <v>9.2150170648464161E-2</v>
      </c>
      <c r="E157" s="4">
        <f t="shared" si="13"/>
        <v>2.2039868375159455</v>
      </c>
      <c r="F157" s="4">
        <f t="shared" si="14"/>
        <v>6.4103729113630048E-2</v>
      </c>
      <c r="G157" s="4">
        <f t="shared" si="15"/>
        <v>0.13075305645820356</v>
      </c>
      <c r="H157" s="4">
        <f t="shared" si="16"/>
        <v>1.6804082853503037</v>
      </c>
      <c r="I157" s="3">
        <f t="shared" si="17"/>
        <v>2.7087727659144876</v>
      </c>
    </row>
    <row r="158" spans="1:9" x14ac:dyDescent="0.25">
      <c r="A158" s="3" t="s">
        <v>159</v>
      </c>
      <c r="B158" s="3">
        <v>18</v>
      </c>
      <c r="C158" s="3">
        <v>3</v>
      </c>
      <c r="D158" s="4">
        <f t="shared" si="12"/>
        <v>0.16666666666666666</v>
      </c>
      <c r="E158" s="4">
        <f t="shared" si="13"/>
        <v>3.0588936890535687</v>
      </c>
      <c r="F158" s="4">
        <f t="shared" si="14"/>
        <v>5.8364704004657555E-2</v>
      </c>
      <c r="G158" s="4">
        <f t="shared" si="15"/>
        <v>0.39222499638359237</v>
      </c>
      <c r="H158" s="4">
        <f t="shared" si="16"/>
        <v>1.545096164453573</v>
      </c>
      <c r="I158" s="3">
        <f t="shared" si="17"/>
        <v>4.2936095758776718</v>
      </c>
    </row>
    <row r="159" spans="1:9" x14ac:dyDescent="0.25">
      <c r="A159" s="3" t="s">
        <v>160</v>
      </c>
      <c r="B159" s="3">
        <v>272</v>
      </c>
      <c r="C159" s="3">
        <v>24</v>
      </c>
      <c r="D159" s="4">
        <f t="shared" si="12"/>
        <v>8.8235294117647065E-2</v>
      </c>
      <c r="E159" s="4">
        <f t="shared" si="13"/>
        <v>2.1413558492455418</v>
      </c>
      <c r="F159" s="4">
        <f t="shared" si="14"/>
        <v>6.0009649874215351E-2</v>
      </c>
      <c r="G159" s="4">
        <f t="shared" si="15"/>
        <v>0.1279300952548732</v>
      </c>
      <c r="H159" s="4">
        <f t="shared" si="16"/>
        <v>1.5851945124922147</v>
      </c>
      <c r="I159" s="3">
        <f t="shared" si="17"/>
        <v>2.6772837896584032</v>
      </c>
    </row>
    <row r="160" spans="1:9" x14ac:dyDescent="0.25">
      <c r="A160" s="3" t="s">
        <v>161</v>
      </c>
      <c r="B160" s="3">
        <v>146</v>
      </c>
      <c r="C160" s="3">
        <v>21</v>
      </c>
      <c r="D160" s="4">
        <f t="shared" si="12"/>
        <v>0.14383561643835616</v>
      </c>
      <c r="E160" s="4">
        <f t="shared" si="13"/>
        <v>2.8463490536734679</v>
      </c>
      <c r="F160" s="4">
        <f t="shared" si="14"/>
        <v>9.6040696957507179E-2</v>
      </c>
      <c r="G160" s="4">
        <f t="shared" si="15"/>
        <v>0.20989303573087845</v>
      </c>
      <c r="H160" s="4">
        <f t="shared" si="16"/>
        <v>2.2636458730965567</v>
      </c>
      <c r="I160" s="3">
        <f t="shared" si="17"/>
        <v>3.3915823935650304</v>
      </c>
    </row>
    <row r="161" spans="1:9" x14ac:dyDescent="0.25">
      <c r="A161" s="3" t="s">
        <v>162</v>
      </c>
      <c r="B161" s="3">
        <v>174</v>
      </c>
      <c r="C161" s="3">
        <v>15</v>
      </c>
      <c r="D161" s="4">
        <f t="shared" si="12"/>
        <v>8.6206896551724144E-2</v>
      </c>
      <c r="E161" s="4">
        <f t="shared" si="13"/>
        <v>2.1078032895345151</v>
      </c>
      <c r="F161" s="4">
        <f t="shared" si="14"/>
        <v>5.2937053496014401E-2</v>
      </c>
      <c r="G161" s="4">
        <f t="shared" si="15"/>
        <v>0.13735363214783947</v>
      </c>
      <c r="H161" s="4">
        <f t="shared" si="16"/>
        <v>1.4042778959101982</v>
      </c>
      <c r="I161" s="3">
        <f t="shared" si="17"/>
        <v>2.7798231561012146</v>
      </c>
    </row>
    <row r="162" spans="1:9" x14ac:dyDescent="0.25">
      <c r="A162" s="3" t="s">
        <v>163</v>
      </c>
      <c r="B162" s="3">
        <v>945</v>
      </c>
      <c r="C162" s="3">
        <v>74</v>
      </c>
      <c r="D162" s="4">
        <f t="shared" si="12"/>
        <v>7.8306878306878311E-2</v>
      </c>
      <c r="E162" s="4">
        <f t="shared" si="13"/>
        <v>1.9691390362952395</v>
      </c>
      <c r="F162" s="4">
        <f t="shared" si="14"/>
        <v>6.2834809344200993E-2</v>
      </c>
      <c r="G162" s="4">
        <f t="shared" si="15"/>
        <v>9.7193587387139624E-2</v>
      </c>
      <c r="H162" s="4">
        <f t="shared" si="16"/>
        <v>1.6515640074513656</v>
      </c>
      <c r="I162" s="3">
        <f t="shared" si="17"/>
        <v>2.2808611312182911</v>
      </c>
    </row>
    <row r="163" spans="1:9" x14ac:dyDescent="0.25">
      <c r="A163" s="3" t="s">
        <v>164</v>
      </c>
      <c r="B163" s="3">
        <v>31</v>
      </c>
      <c r="C163" s="3">
        <v>3</v>
      </c>
      <c r="D163" s="4">
        <f t="shared" si="12"/>
        <v>9.6774193548387094E-2</v>
      </c>
      <c r="E163" s="4">
        <f t="shared" si="13"/>
        <v>2.2746223801090055</v>
      </c>
      <c r="F163" s="4">
        <f t="shared" si="14"/>
        <v>3.3464036094643976E-2</v>
      </c>
      <c r="G163" s="4">
        <f t="shared" si="15"/>
        <v>0.24900289998177039</v>
      </c>
      <c r="H163" s="4">
        <f t="shared" si="16"/>
        <v>0.74261145920072313</v>
      </c>
      <c r="I163" s="3">
        <f t="shared" si="17"/>
        <v>3.6380906394496169</v>
      </c>
    </row>
    <row r="164" spans="1:9" x14ac:dyDescent="0.25">
      <c r="A164" s="3" t="s">
        <v>165</v>
      </c>
      <c r="B164" s="3">
        <v>74</v>
      </c>
      <c r="C164" s="3">
        <v>2</v>
      </c>
      <c r="D164" s="4">
        <f t="shared" si="12"/>
        <v>2.7027027027027029E-2</v>
      </c>
      <c r="E164" s="4">
        <f t="shared" si="13"/>
        <v>0.43440282414577491</v>
      </c>
      <c r="F164" s="4">
        <f t="shared" si="14"/>
        <v>7.4431965623096832E-3</v>
      </c>
      <c r="G164" s="4">
        <f t="shared" si="15"/>
        <v>9.3294712216543757E-2</v>
      </c>
      <c r="H164" s="4">
        <f t="shared" si="16"/>
        <v>-1.4260057592818325</v>
      </c>
      <c r="I164" s="3">
        <f t="shared" si="17"/>
        <v>2.2217953139263891</v>
      </c>
    </row>
    <row r="165" spans="1:9" x14ac:dyDescent="0.25">
      <c r="A165" s="3" t="s">
        <v>166</v>
      </c>
      <c r="B165" s="3">
        <v>85</v>
      </c>
      <c r="C165" s="3">
        <v>8</v>
      </c>
      <c r="D165" s="4">
        <f t="shared" si="12"/>
        <v>9.4117647058823528E-2</v>
      </c>
      <c r="E165" s="4">
        <f t="shared" si="13"/>
        <v>2.2344652536370231</v>
      </c>
      <c r="F165" s="4">
        <f t="shared" si="14"/>
        <v>4.8464481548412638E-2</v>
      </c>
      <c r="G165" s="4">
        <f t="shared" si="15"/>
        <v>0.17487233363726615</v>
      </c>
      <c r="H165" s="4">
        <f t="shared" si="16"/>
        <v>1.2769278180935504</v>
      </c>
      <c r="I165" s="3">
        <f t="shared" si="17"/>
        <v>3.128230154978636</v>
      </c>
    </row>
    <row r="166" spans="1:9" x14ac:dyDescent="0.25">
      <c r="A166" s="3" t="s">
        <v>167</v>
      </c>
      <c r="B166" s="3">
        <v>42</v>
      </c>
      <c r="C166" s="3">
        <v>1</v>
      </c>
      <c r="D166" s="4">
        <f t="shared" si="12"/>
        <v>2.3809523809523808E-2</v>
      </c>
      <c r="E166" s="4">
        <f t="shared" si="13"/>
        <v>0.25153876699596439</v>
      </c>
      <c r="F166" s="4">
        <f t="shared" si="14"/>
        <v>4.2152954991002932E-3</v>
      </c>
      <c r="G166" s="4">
        <f t="shared" si="15"/>
        <v>0.12321481165248255</v>
      </c>
      <c r="H166" s="4">
        <f t="shared" si="16"/>
        <v>-2.2462943248959149</v>
      </c>
      <c r="I166" s="3">
        <f t="shared" si="17"/>
        <v>2.6231037877153627</v>
      </c>
    </row>
    <row r="167" spans="1:9" x14ac:dyDescent="0.25">
      <c r="A167" s="3" t="s">
        <v>168</v>
      </c>
      <c r="B167" s="3">
        <v>25</v>
      </c>
      <c r="C167" s="3">
        <v>3</v>
      </c>
      <c r="D167" s="4">
        <f t="shared" si="12"/>
        <v>0.12</v>
      </c>
      <c r="E167" s="4">
        <f t="shared" si="13"/>
        <v>2.5849625007211561</v>
      </c>
      <c r="F167" s="4">
        <f t="shared" si="14"/>
        <v>4.1667413570680933E-2</v>
      </c>
      <c r="G167" s="4">
        <f t="shared" si="15"/>
        <v>0.29956192183373487</v>
      </c>
      <c r="H167" s="4">
        <f t="shared" si="16"/>
        <v>1.0589195501349979</v>
      </c>
      <c r="I167" s="3">
        <f t="shared" si="17"/>
        <v>3.9047823452762414</v>
      </c>
    </row>
    <row r="168" spans="1:9" x14ac:dyDescent="0.25">
      <c r="A168" s="3" t="s">
        <v>169</v>
      </c>
      <c r="B168" s="3">
        <v>165</v>
      </c>
      <c r="C168" s="3">
        <v>7</v>
      </c>
      <c r="D168" s="4">
        <f t="shared" si="12"/>
        <v>4.2424242424242427E-2</v>
      </c>
      <c r="E168" s="4">
        <f t="shared" si="13"/>
        <v>1.084888897586513</v>
      </c>
      <c r="F168" s="4">
        <f t="shared" si="14"/>
        <v>2.0699586619953553E-2</v>
      </c>
      <c r="G168" s="4">
        <f t="shared" si="15"/>
        <v>8.4971053790940443E-2</v>
      </c>
      <c r="H168" s="4">
        <f t="shared" si="16"/>
        <v>4.9601956744022006E-2</v>
      </c>
      <c r="I168" s="3">
        <f t="shared" si="17"/>
        <v>2.0869714569618378</v>
      </c>
    </row>
    <row r="169" spans="1:9" x14ac:dyDescent="0.25">
      <c r="A169" s="3" t="s">
        <v>170</v>
      </c>
      <c r="B169" s="3">
        <v>66</v>
      </c>
      <c r="C169" s="3">
        <v>2</v>
      </c>
      <c r="D169" s="4">
        <f t="shared" si="12"/>
        <v>3.0303030303030304E-2</v>
      </c>
      <c r="E169" s="4">
        <f t="shared" si="13"/>
        <v>0.5994620704162712</v>
      </c>
      <c r="F169" s="4">
        <f t="shared" si="14"/>
        <v>8.3497350759465083E-3</v>
      </c>
      <c r="G169" s="4">
        <f t="shared" si="15"/>
        <v>0.10392718870586834</v>
      </c>
      <c r="H169" s="4">
        <f t="shared" si="16"/>
        <v>-1.2601976710349838</v>
      </c>
      <c r="I169" s="3">
        <f t="shared" si="17"/>
        <v>2.3775012263170723</v>
      </c>
    </row>
    <row r="170" spans="1:9" x14ac:dyDescent="0.25">
      <c r="A170" s="3" t="s">
        <v>171</v>
      </c>
      <c r="B170" s="3">
        <v>66</v>
      </c>
      <c r="C170" s="3">
        <v>15</v>
      </c>
      <c r="D170" s="4">
        <f t="shared" si="12"/>
        <v>0.22727272727272727</v>
      </c>
      <c r="E170" s="4">
        <f t="shared" si="13"/>
        <v>3.5063526660247897</v>
      </c>
      <c r="F170" s="4">
        <f t="shared" si="14"/>
        <v>0.14285105087244671</v>
      </c>
      <c r="G170" s="4">
        <f t="shared" si="15"/>
        <v>0.34169684035570386</v>
      </c>
      <c r="H170" s="4">
        <f t="shared" si="16"/>
        <v>2.8364397442725395</v>
      </c>
      <c r="I170" s="3">
        <f t="shared" si="17"/>
        <v>4.0946450022265877</v>
      </c>
    </row>
    <row r="171" spans="1:9" x14ac:dyDescent="0.25">
      <c r="A171" s="3" t="s">
        <v>172</v>
      </c>
      <c r="B171" s="3">
        <v>38</v>
      </c>
      <c r="C171" s="3">
        <v>1</v>
      </c>
      <c r="D171" s="4">
        <f t="shared" si="12"/>
        <v>2.6315789473684209E-2</v>
      </c>
      <c r="E171" s="4">
        <f t="shared" si="13"/>
        <v>0.3959286763311391</v>
      </c>
      <c r="F171" s="4">
        <f t="shared" si="14"/>
        <v>4.6604675535300531E-3</v>
      </c>
      <c r="G171" s="4">
        <f t="shared" si="15"/>
        <v>0.13495178436800256</v>
      </c>
      <c r="H171" s="4">
        <f t="shared" si="16"/>
        <v>-2.1014533968056339</v>
      </c>
      <c r="I171" s="3">
        <f t="shared" si="17"/>
        <v>2.7543721475116847</v>
      </c>
    </row>
    <row r="172" spans="1:9" x14ac:dyDescent="0.25">
      <c r="A172" s="3" t="s">
        <v>173</v>
      </c>
      <c r="B172" s="3">
        <v>2769</v>
      </c>
      <c r="C172" s="3">
        <v>343</v>
      </c>
      <c r="D172" s="4">
        <f t="shared" si="12"/>
        <v>0.12387143373058866</v>
      </c>
      <c r="E172" s="4">
        <f t="shared" si="13"/>
        <v>2.6307716175806068</v>
      </c>
      <c r="F172" s="4">
        <f t="shared" si="14"/>
        <v>0.1121194199209482</v>
      </c>
      <c r="G172" s="4">
        <f t="shared" si="15"/>
        <v>0.1366656531246957</v>
      </c>
      <c r="H172" s="4">
        <f t="shared" si="16"/>
        <v>2.4869642802307688</v>
      </c>
      <c r="I172" s="3">
        <f t="shared" si="17"/>
        <v>2.7725788045988979</v>
      </c>
    </row>
    <row r="173" spans="1:9" x14ac:dyDescent="0.25">
      <c r="A173" s="3" t="s">
        <v>174</v>
      </c>
      <c r="B173" s="3">
        <v>74</v>
      </c>
      <c r="C173" s="3">
        <v>5</v>
      </c>
      <c r="D173" s="4">
        <f t="shared" si="12"/>
        <v>6.7567567567567571E-2</v>
      </c>
      <c r="E173" s="4">
        <f t="shared" si="13"/>
        <v>1.7563309190331373</v>
      </c>
      <c r="F173" s="4">
        <f t="shared" si="14"/>
        <v>2.9203655548562042E-2</v>
      </c>
      <c r="G173" s="4">
        <f t="shared" si="15"/>
        <v>0.14861386104924681</v>
      </c>
      <c r="H173" s="4">
        <f t="shared" si="16"/>
        <v>0.54614896882082531</v>
      </c>
      <c r="I173" s="3">
        <f t="shared" si="17"/>
        <v>2.8934967755984577</v>
      </c>
    </row>
    <row r="174" spans="1:9" x14ac:dyDescent="0.25">
      <c r="A174" s="3" t="s">
        <v>175</v>
      </c>
      <c r="B174" s="3">
        <v>50</v>
      </c>
      <c r="C174" s="3">
        <v>1</v>
      </c>
      <c r="D174" s="4">
        <f t="shared" si="12"/>
        <v>0.02</v>
      </c>
      <c r="E174" s="4">
        <f t="shared" si="13"/>
        <v>0</v>
      </c>
      <c r="F174" s="4">
        <f t="shared" si="14"/>
        <v>3.5391680889764613E-3</v>
      </c>
      <c r="G174" s="4">
        <f t="shared" si="15"/>
        <v>0.10495686471836953</v>
      </c>
      <c r="H174" s="4">
        <f t="shared" si="16"/>
        <v>-2.4985178122499572</v>
      </c>
      <c r="I174" s="3">
        <f t="shared" si="17"/>
        <v>2.3917246242736514</v>
      </c>
    </row>
    <row r="175" spans="1:9" x14ac:dyDescent="0.25">
      <c r="A175" s="3" t="s">
        <v>176</v>
      </c>
      <c r="B175" s="3">
        <v>101</v>
      </c>
      <c r="C175" s="3">
        <v>2</v>
      </c>
      <c r="D175" s="4">
        <f t="shared" si="12"/>
        <v>1.9801980198019802E-2</v>
      </c>
      <c r="E175" s="4">
        <f t="shared" si="13"/>
        <v>-1.4355292977070055E-2</v>
      </c>
      <c r="F175" s="4">
        <f t="shared" si="14"/>
        <v>5.447208292721677E-3</v>
      </c>
      <c r="G175" s="4">
        <f t="shared" si="15"/>
        <v>6.9347529673886993E-2</v>
      </c>
      <c r="H175" s="4">
        <f t="shared" si="16"/>
        <v>-1.8764110602533119</v>
      </c>
      <c r="I175" s="3">
        <f t="shared" si="17"/>
        <v>1.7938444911904108</v>
      </c>
    </row>
    <row r="176" spans="1:9" x14ac:dyDescent="0.25">
      <c r="A176" s="3" t="s">
        <v>177</v>
      </c>
      <c r="B176" s="3">
        <v>71</v>
      </c>
      <c r="C176" s="3">
        <v>5</v>
      </c>
      <c r="D176" s="4">
        <f t="shared" si="12"/>
        <v>7.0422535211267609E-2</v>
      </c>
      <c r="E176" s="4">
        <f t="shared" si="13"/>
        <v>1.816037165157405</v>
      </c>
      <c r="F176" s="4">
        <f t="shared" si="14"/>
        <v>3.0453153406264533E-2</v>
      </c>
      <c r="G176" s="4">
        <f t="shared" si="15"/>
        <v>0.1544921176729214</v>
      </c>
      <c r="H176" s="4">
        <f t="shared" si="16"/>
        <v>0.6065916260963885</v>
      </c>
      <c r="I176" s="3">
        <f t="shared" si="17"/>
        <v>2.9494613272935069</v>
      </c>
    </row>
    <row r="177" spans="1:9" x14ac:dyDescent="0.25">
      <c r="A177" s="3" t="s">
        <v>178</v>
      </c>
      <c r="B177" s="3">
        <v>31</v>
      </c>
      <c r="C177" s="3">
        <v>1</v>
      </c>
      <c r="D177" s="4">
        <f t="shared" si="12"/>
        <v>3.2258064516129031E-2</v>
      </c>
      <c r="E177" s="4">
        <f t="shared" si="13"/>
        <v>0.68965987938784945</v>
      </c>
      <c r="F177" s="4">
        <f t="shared" si="14"/>
        <v>5.7170740869444403E-3</v>
      </c>
      <c r="G177" s="4">
        <f t="shared" si="15"/>
        <v>0.16194457176169624</v>
      </c>
      <c r="H177" s="4">
        <f t="shared" si="16"/>
        <v>-1.8066511087656381</v>
      </c>
      <c r="I177" s="3">
        <f t="shared" si="17"/>
        <v>3.0174282059736632</v>
      </c>
    </row>
    <row r="178" spans="1:9" x14ac:dyDescent="0.25">
      <c r="A178" s="3" t="s">
        <v>179</v>
      </c>
      <c r="B178" s="3">
        <v>558</v>
      </c>
      <c r="C178" s="3">
        <v>51</v>
      </c>
      <c r="D178" s="4">
        <f t="shared" si="12"/>
        <v>9.1397849462365593E-2</v>
      </c>
      <c r="E178" s="4">
        <f t="shared" si="13"/>
        <v>2.1921602199170329</v>
      </c>
      <c r="F178" s="4">
        <f t="shared" si="14"/>
        <v>7.019955047204543E-2</v>
      </c>
      <c r="G178" s="4">
        <f t="shared" si="15"/>
        <v>0.11818379458463957</v>
      </c>
      <c r="H178" s="4">
        <f t="shared" si="16"/>
        <v>1.8114617921562286</v>
      </c>
      <c r="I178" s="3">
        <f t="shared" si="17"/>
        <v>2.5629603209679122</v>
      </c>
    </row>
    <row r="179" spans="1:9" x14ac:dyDescent="0.25">
      <c r="A179" s="3" t="s">
        <v>180</v>
      </c>
      <c r="B179" s="3">
        <v>40</v>
      </c>
      <c r="C179" s="3">
        <v>1</v>
      </c>
      <c r="D179" s="4">
        <f t="shared" si="12"/>
        <v>2.5000000000000001E-2</v>
      </c>
      <c r="E179" s="4">
        <f t="shared" si="13"/>
        <v>0.32192809488736235</v>
      </c>
      <c r="F179" s="4">
        <f t="shared" si="14"/>
        <v>4.4267174077949186E-3</v>
      </c>
      <c r="G179" s="4">
        <f t="shared" si="15"/>
        <v>0.12881659488007779</v>
      </c>
      <c r="H179" s="4">
        <f t="shared" si="16"/>
        <v>-2.1756908170887552</v>
      </c>
      <c r="I179" s="3">
        <f t="shared" si="17"/>
        <v>2.6872465564221613</v>
      </c>
    </row>
    <row r="180" spans="1:9" x14ac:dyDescent="0.25">
      <c r="A180" s="3" t="s">
        <v>181</v>
      </c>
      <c r="B180" s="3">
        <v>1366</v>
      </c>
      <c r="C180" s="3">
        <v>123</v>
      </c>
      <c r="D180" s="4">
        <f t="shared" si="12"/>
        <v>9.0043923865300149E-2</v>
      </c>
      <c r="E180" s="4">
        <f t="shared" si="13"/>
        <v>2.1706289268238743</v>
      </c>
      <c r="F180" s="4">
        <f t="shared" si="14"/>
        <v>7.599150082248804E-2</v>
      </c>
      <c r="G180" s="4">
        <f t="shared" si="15"/>
        <v>0.10639571825452059</v>
      </c>
      <c r="H180" s="4">
        <f t="shared" si="16"/>
        <v>1.9258380710967327</v>
      </c>
      <c r="I180" s="3">
        <f t="shared" si="17"/>
        <v>2.4113681876694608</v>
      </c>
    </row>
    <row r="181" spans="1:9" x14ac:dyDescent="0.25">
      <c r="A181" s="3" t="s">
        <v>182</v>
      </c>
      <c r="B181" s="3">
        <v>654</v>
      </c>
      <c r="C181" s="3">
        <v>54</v>
      </c>
      <c r="D181" s="4">
        <f t="shared" si="12"/>
        <v>8.2568807339449546E-2</v>
      </c>
      <c r="E181" s="4">
        <f t="shared" si="13"/>
        <v>2.045596866440111</v>
      </c>
      <c r="F181" s="4">
        <f t="shared" si="14"/>
        <v>6.3833224774121844E-2</v>
      </c>
      <c r="G181" s="4">
        <f t="shared" si="15"/>
        <v>0.10617973883292278</v>
      </c>
      <c r="H181" s="4">
        <f t="shared" si="16"/>
        <v>1.6743075327712287</v>
      </c>
      <c r="I181" s="3">
        <f t="shared" si="17"/>
        <v>2.4084365929128539</v>
      </c>
    </row>
    <row r="182" spans="1:9" x14ac:dyDescent="0.25">
      <c r="A182" s="3" t="s">
        <v>183</v>
      </c>
      <c r="B182" s="3">
        <v>778</v>
      </c>
      <c r="C182" s="3">
        <v>75</v>
      </c>
      <c r="D182" s="4">
        <f t="shared" si="12"/>
        <v>9.6401028277634956E-2</v>
      </c>
      <c r="E182" s="4">
        <f t="shared" si="13"/>
        <v>2.2690485352844134</v>
      </c>
      <c r="F182" s="4">
        <f t="shared" si="14"/>
        <v>7.7600967230132087E-2</v>
      </c>
      <c r="G182" s="4">
        <f t="shared" si="15"/>
        <v>0.11916727840939385</v>
      </c>
      <c r="H182" s="4">
        <f t="shared" si="16"/>
        <v>1.956074634492539</v>
      </c>
      <c r="I182" s="3">
        <f t="shared" si="17"/>
        <v>2.5749162421210112</v>
      </c>
    </row>
    <row r="183" spans="1:9" x14ac:dyDescent="0.25">
      <c r="A183" s="3" t="s">
        <v>184</v>
      </c>
      <c r="B183" s="3">
        <v>249</v>
      </c>
      <c r="C183" s="3">
        <v>22</v>
      </c>
      <c r="D183" s="4">
        <f t="shared" si="12"/>
        <v>8.8353413654618476E-2</v>
      </c>
      <c r="E183" s="4">
        <f t="shared" si="13"/>
        <v>2.1432858763439411</v>
      </c>
      <c r="F183" s="4">
        <f t="shared" si="14"/>
        <v>5.9070172976876917E-2</v>
      </c>
      <c r="G183" s="4">
        <f t="shared" si="15"/>
        <v>0.13014552570561835</v>
      </c>
      <c r="H183" s="4">
        <f t="shared" si="16"/>
        <v>1.5624298366519571</v>
      </c>
      <c r="I183" s="3">
        <f t="shared" si="17"/>
        <v>2.7020538088324293</v>
      </c>
    </row>
    <row r="184" spans="1:9" x14ac:dyDescent="0.25">
      <c r="A184" s="3" t="s">
        <v>185</v>
      </c>
      <c r="B184" s="3">
        <v>106</v>
      </c>
      <c r="C184" s="3">
        <v>1</v>
      </c>
      <c r="D184" s="4">
        <f t="shared" si="12"/>
        <v>9.433962264150943E-3</v>
      </c>
      <c r="E184" s="4">
        <f t="shared" si="13"/>
        <v>-1.0840642647884746</v>
      </c>
      <c r="F184" s="4">
        <f t="shared" si="14"/>
        <v>1.6672287844913499E-3</v>
      </c>
      <c r="G184" s="4">
        <f t="shared" si="15"/>
        <v>5.1514807893779893E-2</v>
      </c>
      <c r="H184" s="4">
        <f t="shared" si="16"/>
        <v>-3.5844760039982497</v>
      </c>
      <c r="I184" s="3">
        <f t="shared" si="17"/>
        <v>1.3649871935424416</v>
      </c>
    </row>
    <row r="185" spans="1:9" x14ac:dyDescent="0.25">
      <c r="A185" s="3" t="s">
        <v>186</v>
      </c>
      <c r="B185" s="3">
        <v>156</v>
      </c>
      <c r="C185" s="3">
        <v>10</v>
      </c>
      <c r="D185" s="4">
        <f t="shared" si="12"/>
        <v>6.4102564102564097E-2</v>
      </c>
      <c r="E185" s="4">
        <f t="shared" si="13"/>
        <v>1.6803820657998385</v>
      </c>
      <c r="F185" s="4">
        <f t="shared" si="14"/>
        <v>3.5188202113320161E-2</v>
      </c>
      <c r="G185" s="4">
        <f t="shared" si="15"/>
        <v>0.11396946397610834</v>
      </c>
      <c r="H185" s="4">
        <f t="shared" si="16"/>
        <v>0.8150918037022663</v>
      </c>
      <c r="I185" s="3">
        <f t="shared" si="17"/>
        <v>2.510575427422443</v>
      </c>
    </row>
    <row r="186" spans="1:9" x14ac:dyDescent="0.25">
      <c r="A186" s="3" t="s">
        <v>187</v>
      </c>
      <c r="B186" s="3">
        <v>1270</v>
      </c>
      <c r="C186" s="3">
        <v>118</v>
      </c>
      <c r="D186" s="4">
        <f t="shared" si="12"/>
        <v>9.2913385826771652E-2</v>
      </c>
      <c r="E186" s="4">
        <f t="shared" si="13"/>
        <v>2.2158864574770378</v>
      </c>
      <c r="F186" s="4">
        <f t="shared" si="14"/>
        <v>7.8151161962971158E-2</v>
      </c>
      <c r="G186" s="4">
        <f t="shared" si="15"/>
        <v>0.11013096039823921</v>
      </c>
      <c r="H186" s="4">
        <f t="shared" si="16"/>
        <v>1.9662673235864747</v>
      </c>
      <c r="I186" s="3">
        <f t="shared" si="17"/>
        <v>2.4611481962512847</v>
      </c>
    </row>
    <row r="187" spans="1:9" x14ac:dyDescent="0.25">
      <c r="A187" s="3" t="s">
        <v>188</v>
      </c>
      <c r="B187" s="3">
        <v>386</v>
      </c>
      <c r="C187" s="3">
        <v>23</v>
      </c>
      <c r="D187" s="4">
        <f t="shared" si="12"/>
        <v>5.9585492227979271E-2</v>
      </c>
      <c r="E187" s="4">
        <f t="shared" si="13"/>
        <v>1.5749611085636572</v>
      </c>
      <c r="F187" s="4">
        <f t="shared" si="14"/>
        <v>4.0029442005057363E-2</v>
      </c>
      <c r="G187" s="4">
        <f t="shared" si="15"/>
        <v>8.7821459489293166E-2</v>
      </c>
      <c r="H187" s="4">
        <f t="shared" si="16"/>
        <v>1.0010615052546203</v>
      </c>
      <c r="I187" s="3">
        <f t="shared" si="17"/>
        <v>2.1345735105572476</v>
      </c>
    </row>
    <row r="188" spans="1:9" x14ac:dyDescent="0.25">
      <c r="A188" s="3" t="s">
        <v>189</v>
      </c>
      <c r="B188" s="3">
        <v>263</v>
      </c>
      <c r="C188" s="3">
        <v>11</v>
      </c>
      <c r="D188" s="4">
        <f t="shared" si="12"/>
        <v>4.1825095057034217E-2</v>
      </c>
      <c r="E188" s="4">
        <f t="shared" si="13"/>
        <v>1.0643688191197196</v>
      </c>
      <c r="F188" s="4">
        <f t="shared" si="14"/>
        <v>2.3512162267211634E-2</v>
      </c>
      <c r="G188" s="4">
        <f t="shared" si="15"/>
        <v>7.3330309071590091E-2</v>
      </c>
      <c r="H188" s="4">
        <f t="shared" si="16"/>
        <v>0.23340722077480361</v>
      </c>
      <c r="I188" s="3">
        <f t="shared" si="17"/>
        <v>1.8744096200426614</v>
      </c>
    </row>
    <row r="189" spans="1:9" x14ac:dyDescent="0.25">
      <c r="A189" s="3" t="s">
        <v>190</v>
      </c>
      <c r="B189" s="3">
        <v>384</v>
      </c>
      <c r="C189" s="3">
        <v>24</v>
      </c>
      <c r="D189" s="4">
        <f t="shared" si="12"/>
        <v>6.25E-2</v>
      </c>
      <c r="E189" s="4">
        <f t="shared" si="13"/>
        <v>1.6438561897747248</v>
      </c>
      <c r="F189" s="4">
        <f t="shared" si="14"/>
        <v>4.2355838914583908E-2</v>
      </c>
      <c r="G189" s="4">
        <f t="shared" si="15"/>
        <v>9.1311101403319092E-2</v>
      </c>
      <c r="H189" s="4">
        <f t="shared" si="16"/>
        <v>1.0825608643027633</v>
      </c>
      <c r="I189" s="3">
        <f t="shared" si="17"/>
        <v>2.1907902705696785</v>
      </c>
    </row>
    <row r="190" spans="1:9" x14ac:dyDescent="0.25">
      <c r="A190" s="3" t="s">
        <v>191</v>
      </c>
      <c r="B190" s="3">
        <v>126</v>
      </c>
      <c r="C190" s="3">
        <v>7</v>
      </c>
      <c r="D190" s="4">
        <f t="shared" si="12"/>
        <v>5.5555555555555552E-2</v>
      </c>
      <c r="E190" s="4">
        <f t="shared" si="13"/>
        <v>1.4739311883324122</v>
      </c>
      <c r="F190" s="4">
        <f t="shared" si="14"/>
        <v>2.7168409228588992E-2</v>
      </c>
      <c r="G190" s="4">
        <f t="shared" si="15"/>
        <v>0.11024209711144381</v>
      </c>
      <c r="H190" s="4">
        <f t="shared" si="16"/>
        <v>0.44193009499628144</v>
      </c>
      <c r="I190" s="3">
        <f t="shared" si="17"/>
        <v>2.4626033323773218</v>
      </c>
    </row>
    <row r="191" spans="1:9" x14ac:dyDescent="0.25">
      <c r="A191" s="3" t="s">
        <v>192</v>
      </c>
      <c r="B191" s="3">
        <v>122</v>
      </c>
      <c r="C191" s="3">
        <v>4</v>
      </c>
      <c r="D191" s="4">
        <f t="shared" si="12"/>
        <v>3.2786885245901641E-2</v>
      </c>
      <c r="E191" s="4">
        <f t="shared" si="13"/>
        <v>0.71311885221183857</v>
      </c>
      <c r="F191" s="4">
        <f t="shared" si="14"/>
        <v>1.2822391019358004E-2</v>
      </c>
      <c r="G191" s="4">
        <f t="shared" si="15"/>
        <v>8.127685755980818E-2</v>
      </c>
      <c r="H191" s="4">
        <f t="shared" si="16"/>
        <v>-0.64133469045118863</v>
      </c>
      <c r="I191" s="3">
        <f t="shared" si="17"/>
        <v>2.0228446236833837</v>
      </c>
    </row>
    <row r="192" spans="1:9" x14ac:dyDescent="0.25">
      <c r="A192" s="3" t="s">
        <v>193</v>
      </c>
      <c r="B192" s="3">
        <v>7</v>
      </c>
      <c r="C192" s="3">
        <v>0</v>
      </c>
      <c r="D192" s="4" t="str">
        <f t="shared" si="12"/>
        <v>NaN</v>
      </c>
      <c r="E192" s="4" t="str">
        <f t="shared" si="13"/>
        <v>NaN</v>
      </c>
      <c r="F192" s="4" t="str">
        <f t="shared" si="14"/>
        <v>NaN</v>
      </c>
      <c r="G192" s="4" t="str">
        <f t="shared" si="15"/>
        <v>NaN</v>
      </c>
      <c r="H192" s="4" t="str">
        <f t="shared" si="16"/>
        <v>NaN</v>
      </c>
      <c r="I192" s="3" t="str">
        <f t="shared" si="17"/>
        <v>NaN</v>
      </c>
    </row>
    <row r="193" spans="1:9" x14ac:dyDescent="0.25">
      <c r="A193" s="3" t="s">
        <v>194</v>
      </c>
      <c r="B193" s="3">
        <v>1148</v>
      </c>
      <c r="C193" s="3">
        <v>83</v>
      </c>
      <c r="D193" s="4">
        <f t="shared" si="12"/>
        <v>7.2299651567944254E-2</v>
      </c>
      <c r="E193" s="4">
        <f t="shared" si="13"/>
        <v>1.8539886944459616</v>
      </c>
      <c r="F193" s="4">
        <f t="shared" si="14"/>
        <v>5.8701682664684306E-2</v>
      </c>
      <c r="G193" s="4">
        <f t="shared" si="15"/>
        <v>8.875053645988977E-2</v>
      </c>
      <c r="H193" s="4">
        <f t="shared" si="16"/>
        <v>1.5534018583132221</v>
      </c>
      <c r="I193" s="3">
        <f t="shared" si="17"/>
        <v>2.1497558400194259</v>
      </c>
    </row>
    <row r="194" spans="1:9" x14ac:dyDescent="0.25">
      <c r="A194" s="3" t="s">
        <v>195</v>
      </c>
      <c r="B194" s="3">
        <v>223</v>
      </c>
      <c r="C194" s="3">
        <v>8</v>
      </c>
      <c r="D194" s="4">
        <f t="shared" si="12"/>
        <v>3.5874439461883408E-2</v>
      </c>
      <c r="E194" s="4">
        <f t="shared" si="13"/>
        <v>0.84295628985441995</v>
      </c>
      <c r="F194" s="4">
        <f t="shared" si="14"/>
        <v>1.8287975932875213E-2</v>
      </c>
      <c r="G194" s="4">
        <f t="shared" si="15"/>
        <v>6.9180989195214163E-2</v>
      </c>
      <c r="H194" s="4">
        <f t="shared" si="16"/>
        <v>-0.12910458993210747</v>
      </c>
      <c r="I194" s="3">
        <f t="shared" si="17"/>
        <v>1.7903756424594248</v>
      </c>
    </row>
    <row r="195" spans="1:9" x14ac:dyDescent="0.25">
      <c r="A195" s="3" t="s">
        <v>196</v>
      </c>
      <c r="B195" s="3">
        <v>1051</v>
      </c>
      <c r="C195" s="3">
        <v>91</v>
      </c>
      <c r="D195" s="4">
        <f t="shared" ref="D195:D241" si="18">IF(C195=0,"NaN",C195/B195)</f>
        <v>8.6584205518553753E-2</v>
      </c>
      <c r="E195" s="4">
        <f t="shared" ref="E195:E241" si="19">IF(C195=0,"NaN",LN(D195/0.02)/LN(2))</f>
        <v>2.1141038760112427</v>
      </c>
      <c r="F195" s="4">
        <f t="shared" ref="F195:F241" si="20">IF(C195=0,"NaN",_xlfn.LET(_xlpm.N,B195,_xlpm.X,C195,_xlpm.p,_xlpm.X/_xlpm.N,_xlpm.z,1.96,(_xlpm.p+_xlpm.z^2/(2*_xlpm.N)-_xlpm.z*SQRT(_xlpm.p*(1-_xlpm.p)/_xlpm.N+_xlpm.z^2/(4*_xlpm.N^2)))/(1+_xlpm.z^2/_xlpm.N))
)</f>
        <v>7.1051823262748351E-2</v>
      </c>
      <c r="G195" s="4">
        <f t="shared" ref="G195:G241" si="21">IF(C195=0,"NaN",_xlfn.LET(_xlpm.N,B195,_xlpm.X,C195,_xlpm.p,_xlpm.X/_xlpm.N,_xlpm.z,1.96,(_xlpm.p+_xlpm.z^2/(2*_xlpm.N)+_xlpm.z*SQRT(_xlpm.p*(1-_xlpm.p)/_xlpm.N+_xlpm.z^2/(4*_xlpm.N^2)))/(1+_xlpm.z^2/_xlpm.N)))</f>
        <v>0.10512780408604032</v>
      </c>
      <c r="H195" s="4">
        <f t="shared" ref="H195:H241" si="22">IF(C195=0,"NaN",LN(F195/0.02)/LN(2))</f>
        <v>1.8288716709793216</v>
      </c>
      <c r="I195" s="3">
        <f t="shared" ref="I195:I241" si="23">IF(C195=0,"NaN",LN(G195/0.02)/LN(2))</f>
        <v>2.3940723770521752</v>
      </c>
    </row>
    <row r="196" spans="1:9" x14ac:dyDescent="0.25">
      <c r="A196" s="3" t="s">
        <v>197</v>
      </c>
      <c r="B196" s="3">
        <v>74</v>
      </c>
      <c r="C196" s="3">
        <v>14</v>
      </c>
      <c r="D196" s="4">
        <f t="shared" si="18"/>
        <v>0.1891891891891892</v>
      </c>
      <c r="E196" s="4">
        <f t="shared" si="19"/>
        <v>3.2417577462033793</v>
      </c>
      <c r="F196" s="4">
        <f t="shared" si="20"/>
        <v>0.11617864171285916</v>
      </c>
      <c r="G196" s="4">
        <f t="shared" si="21"/>
        <v>0.29287769834181598</v>
      </c>
      <c r="H196" s="4">
        <f t="shared" si="22"/>
        <v>2.538272962879859</v>
      </c>
      <c r="I196" s="3">
        <f t="shared" si="23"/>
        <v>3.8722264358799081</v>
      </c>
    </row>
    <row r="197" spans="1:9" x14ac:dyDescent="0.25">
      <c r="A197" s="3" t="s">
        <v>198</v>
      </c>
      <c r="B197" s="3">
        <v>1853</v>
      </c>
      <c r="C197" s="3">
        <v>181</v>
      </c>
      <c r="D197" s="4">
        <f t="shared" si="18"/>
        <v>9.7679438747976258E-2</v>
      </c>
      <c r="E197" s="4">
        <f t="shared" si="19"/>
        <v>2.2880549108306645</v>
      </c>
      <c r="F197" s="4">
        <f t="shared" si="20"/>
        <v>8.4982533164148708E-2</v>
      </c>
      <c r="G197" s="4">
        <f t="shared" si="21"/>
        <v>0.11204105786267879</v>
      </c>
      <c r="H197" s="4">
        <f t="shared" si="22"/>
        <v>2.0871663482274116</v>
      </c>
      <c r="I197" s="3">
        <f t="shared" si="23"/>
        <v>2.4859556050300182</v>
      </c>
    </row>
    <row r="198" spans="1:9" x14ac:dyDescent="0.25">
      <c r="A198" s="3" t="s">
        <v>199</v>
      </c>
      <c r="B198" s="3">
        <v>31</v>
      </c>
      <c r="C198" s="3">
        <v>4</v>
      </c>
      <c r="D198" s="4">
        <f t="shared" si="18"/>
        <v>0.12903225806451613</v>
      </c>
      <c r="E198" s="4">
        <f t="shared" si="19"/>
        <v>2.6896598793878495</v>
      </c>
      <c r="F198" s="4">
        <f t="shared" si="20"/>
        <v>5.1342011646447638E-2</v>
      </c>
      <c r="G198" s="4">
        <f t="shared" si="21"/>
        <v>0.28852756954385356</v>
      </c>
      <c r="H198" s="4">
        <f t="shared" si="22"/>
        <v>1.3601398236791562</v>
      </c>
      <c r="I198" s="3">
        <f t="shared" si="23"/>
        <v>3.8506372735288719</v>
      </c>
    </row>
    <row r="199" spans="1:9" x14ac:dyDescent="0.25">
      <c r="A199" s="3" t="s">
        <v>200</v>
      </c>
      <c r="B199" s="3">
        <v>168</v>
      </c>
      <c r="C199" s="3">
        <v>9</v>
      </c>
      <c r="D199" s="4">
        <f t="shared" si="18"/>
        <v>5.3571428571428568E-2</v>
      </c>
      <c r="E199" s="4">
        <f t="shared" si="19"/>
        <v>1.4214637684382767</v>
      </c>
      <c r="F199" s="4">
        <f t="shared" si="20"/>
        <v>2.8436603624037545E-2</v>
      </c>
      <c r="G199" s="4">
        <f t="shared" si="21"/>
        <v>9.8666495974662649E-2</v>
      </c>
      <c r="H199" s="4">
        <f t="shared" si="22"/>
        <v>0.50774916441715379</v>
      </c>
      <c r="I199" s="3">
        <f t="shared" si="23"/>
        <v>2.3025602741752889</v>
      </c>
    </row>
    <row r="200" spans="1:9" x14ac:dyDescent="0.25">
      <c r="A200" s="3" t="s">
        <v>201</v>
      </c>
      <c r="B200" s="3">
        <v>72</v>
      </c>
      <c r="C200" s="3">
        <v>7</v>
      </c>
      <c r="D200" s="4">
        <f t="shared" si="18"/>
        <v>9.7222222222222224E-2</v>
      </c>
      <c r="E200" s="4">
        <f t="shared" si="19"/>
        <v>2.2812861103900164</v>
      </c>
      <c r="F200" s="4">
        <f t="shared" si="20"/>
        <v>4.7895711261167928E-2</v>
      </c>
      <c r="G200" s="4">
        <f t="shared" si="21"/>
        <v>0.18735249025356804</v>
      </c>
      <c r="H200" s="4">
        <f t="shared" si="22"/>
        <v>1.2598964781064688</v>
      </c>
      <c r="I200" s="3">
        <f t="shared" si="23"/>
        <v>3.2276832487091611</v>
      </c>
    </row>
    <row r="201" spans="1:9" x14ac:dyDescent="0.25">
      <c r="A201" s="3" t="s">
        <v>202</v>
      </c>
      <c r="B201" s="3">
        <v>187</v>
      </c>
      <c r="C201" s="3">
        <v>14</v>
      </c>
      <c r="D201" s="4">
        <f t="shared" si="18"/>
        <v>7.4866310160427801E-2</v>
      </c>
      <c r="E201" s="4">
        <f t="shared" si="19"/>
        <v>1.9043166519446921</v>
      </c>
      <c r="F201" s="4">
        <f t="shared" si="20"/>
        <v>4.5116814620621885E-2</v>
      </c>
      <c r="G201" s="4">
        <f t="shared" si="21"/>
        <v>0.12173150356576931</v>
      </c>
      <c r="H201" s="4">
        <f t="shared" si="22"/>
        <v>1.1736652128329541</v>
      </c>
      <c r="I201" s="3">
        <f t="shared" si="23"/>
        <v>2.6056306742493205</v>
      </c>
    </row>
    <row r="202" spans="1:9" x14ac:dyDescent="0.25">
      <c r="A202" s="3" t="s">
        <v>203</v>
      </c>
      <c r="B202" s="3">
        <v>313</v>
      </c>
      <c r="C202" s="3">
        <v>22</v>
      </c>
      <c r="D202" s="4">
        <f t="shared" si="18"/>
        <v>7.0287539936102233E-2</v>
      </c>
      <c r="E202" s="4">
        <f t="shared" si="19"/>
        <v>1.8132689614794035</v>
      </c>
      <c r="F202" s="4">
        <f t="shared" si="20"/>
        <v>4.6871473576274005E-2</v>
      </c>
      <c r="G202" s="4">
        <f t="shared" si="21"/>
        <v>0.10412385027008961</v>
      </c>
      <c r="H202" s="4">
        <f t="shared" si="22"/>
        <v>1.2287101519273376</v>
      </c>
      <c r="I202" s="3">
        <f t="shared" si="23"/>
        <v>2.3802286604056979</v>
      </c>
    </row>
    <row r="203" spans="1:9" x14ac:dyDescent="0.25">
      <c r="A203" s="3" t="s">
        <v>204</v>
      </c>
      <c r="B203" s="3">
        <v>341</v>
      </c>
      <c r="C203" s="3">
        <v>15</v>
      </c>
      <c r="D203" s="4">
        <f t="shared" si="18"/>
        <v>4.398826979472141E-2</v>
      </c>
      <c r="E203" s="4">
        <f t="shared" si="19"/>
        <v>1.1371188563590708</v>
      </c>
      <c r="F203" s="4">
        <f t="shared" si="20"/>
        <v>2.6835723046358093E-2</v>
      </c>
      <c r="G203" s="4">
        <f t="shared" si="21"/>
        <v>7.1300928680115727E-2</v>
      </c>
      <c r="H203" s="4">
        <f t="shared" si="22"/>
        <v>0.4241547597838749</v>
      </c>
      <c r="I203" s="3">
        <f t="shared" si="23"/>
        <v>1.8339208676014518</v>
      </c>
    </row>
    <row r="204" spans="1:9" x14ac:dyDescent="0.25">
      <c r="A204" s="3" t="s">
        <v>205</v>
      </c>
      <c r="B204" s="3">
        <v>921</v>
      </c>
      <c r="C204" s="3">
        <v>67</v>
      </c>
      <c r="D204" s="4">
        <f t="shared" si="18"/>
        <v>7.2747014115092296E-2</v>
      </c>
      <c r="E204" s="4">
        <f t="shared" si="19"/>
        <v>1.8628880341411616</v>
      </c>
      <c r="F204" s="4">
        <f t="shared" si="20"/>
        <v>5.7688932287570646E-2</v>
      </c>
      <c r="G204" s="4">
        <f t="shared" si="21"/>
        <v>9.1354536345328224E-2</v>
      </c>
      <c r="H204" s="4">
        <f t="shared" si="22"/>
        <v>1.5282945621044333</v>
      </c>
      <c r="I204" s="3">
        <f t="shared" si="23"/>
        <v>2.1914763697987532</v>
      </c>
    </row>
    <row r="205" spans="1:9" x14ac:dyDescent="0.25">
      <c r="A205" s="3" t="s">
        <v>206</v>
      </c>
      <c r="B205" s="3">
        <v>363</v>
      </c>
      <c r="C205" s="3">
        <v>21</v>
      </c>
      <c r="D205" s="4">
        <f t="shared" si="18"/>
        <v>5.7851239669421489E-2</v>
      </c>
      <c r="E205" s="4">
        <f t="shared" si="19"/>
        <v>1.5323478745577344</v>
      </c>
      <c r="F205" s="4">
        <f t="shared" si="20"/>
        <v>3.8145995734805899E-2</v>
      </c>
      <c r="G205" s="4">
        <f t="shared" si="21"/>
        <v>8.6816931043400311E-2</v>
      </c>
      <c r="H205" s="4">
        <f t="shared" si="22"/>
        <v>0.93153162228298436</v>
      </c>
      <c r="I205" s="3">
        <f t="shared" si="23"/>
        <v>2.1179764245866144</v>
      </c>
    </row>
    <row r="206" spans="1:9" x14ac:dyDescent="0.25">
      <c r="A206" s="3" t="s">
        <v>207</v>
      </c>
      <c r="B206" s="3">
        <v>936</v>
      </c>
      <c r="C206" s="3">
        <v>82</v>
      </c>
      <c r="D206" s="4">
        <f t="shared" si="18"/>
        <v>8.7606837606837601E-2</v>
      </c>
      <c r="E206" s="4">
        <f t="shared" si="19"/>
        <v>2.1310434748094038</v>
      </c>
      <c r="F206" s="4">
        <f t="shared" si="20"/>
        <v>7.113862955197843E-2</v>
      </c>
      <c r="G206" s="4">
        <f t="shared" si="21"/>
        <v>0.1074463575352073</v>
      </c>
      <c r="H206" s="4">
        <f t="shared" si="22"/>
        <v>1.83063318191159</v>
      </c>
      <c r="I206" s="3">
        <f t="shared" si="23"/>
        <v>2.4255446706733985</v>
      </c>
    </row>
    <row r="207" spans="1:9" x14ac:dyDescent="0.25">
      <c r="A207" s="3" t="s">
        <v>208</v>
      </c>
      <c r="B207" s="3">
        <v>100</v>
      </c>
      <c r="C207" s="3">
        <v>9</v>
      </c>
      <c r="D207" s="4">
        <f t="shared" si="18"/>
        <v>0.09</v>
      </c>
      <c r="E207" s="4">
        <f t="shared" si="19"/>
        <v>2.1699250014423126</v>
      </c>
      <c r="F207" s="4">
        <f t="shared" si="20"/>
        <v>4.8071995163884884E-2</v>
      </c>
      <c r="G207" s="4">
        <f t="shared" si="21"/>
        <v>0.16226374696643667</v>
      </c>
      <c r="H207" s="4">
        <f t="shared" si="22"/>
        <v>1.2651966818471279</v>
      </c>
      <c r="I207" s="3">
        <f t="shared" si="23"/>
        <v>3.0202688032515019</v>
      </c>
    </row>
    <row r="208" spans="1:9" x14ac:dyDescent="0.25">
      <c r="A208" s="3" t="s">
        <v>209</v>
      </c>
      <c r="B208" s="3">
        <v>69</v>
      </c>
      <c r="C208" s="3">
        <v>4</v>
      </c>
      <c r="D208" s="4">
        <f t="shared" si="18"/>
        <v>5.7971014492753624E-2</v>
      </c>
      <c r="E208" s="4">
        <f t="shared" si="19"/>
        <v>1.5353317329965557</v>
      </c>
      <c r="F208" s="4">
        <f t="shared" si="20"/>
        <v>2.2772020303367495E-2</v>
      </c>
      <c r="G208" s="4">
        <f t="shared" si="21"/>
        <v>0.13979442524423169</v>
      </c>
      <c r="H208" s="4">
        <f t="shared" si="22"/>
        <v>0.18726229113866424</v>
      </c>
      <c r="I208" s="3">
        <f t="shared" si="23"/>
        <v>2.8052349246074155</v>
      </c>
    </row>
    <row r="209" spans="1:9" x14ac:dyDescent="0.25">
      <c r="A209" s="3" t="s">
        <v>210</v>
      </c>
      <c r="B209" s="3">
        <v>230</v>
      </c>
      <c r="C209" s="3">
        <v>8</v>
      </c>
      <c r="D209" s="4">
        <f t="shared" si="18"/>
        <v>3.4782608695652174E-2</v>
      </c>
      <c r="E209" s="4">
        <f t="shared" si="19"/>
        <v>0.79836613883034946</v>
      </c>
      <c r="F209" s="4">
        <f t="shared" si="20"/>
        <v>1.7728102745003568E-2</v>
      </c>
      <c r="G209" s="4">
        <f t="shared" si="21"/>
        <v>6.7122496977201546E-2</v>
      </c>
      <c r="H209" s="4">
        <f t="shared" si="22"/>
        <v>-0.17396185219173307</v>
      </c>
      <c r="I209" s="3">
        <f t="shared" si="23"/>
        <v>1.7467963854681459</v>
      </c>
    </row>
    <row r="210" spans="1:9" x14ac:dyDescent="0.25">
      <c r="A210" s="3" t="s">
        <v>211</v>
      </c>
      <c r="B210" s="3">
        <v>536</v>
      </c>
      <c r="C210" s="3">
        <v>44</v>
      </c>
      <c r="D210" s="4">
        <f t="shared" si="18"/>
        <v>8.2089552238805971E-2</v>
      </c>
      <c r="E210" s="4">
        <f t="shared" si="19"/>
        <v>2.0371986179542496</v>
      </c>
      <c r="F210" s="4">
        <f t="shared" si="20"/>
        <v>6.1717099007420791E-2</v>
      </c>
      <c r="G210" s="4">
        <f t="shared" si="21"/>
        <v>0.1084098419322919</v>
      </c>
      <c r="H210" s="4">
        <f t="shared" si="22"/>
        <v>1.6256702500815376</v>
      </c>
      <c r="I210" s="3">
        <f t="shared" si="23"/>
        <v>2.4384238318593177</v>
      </c>
    </row>
    <row r="211" spans="1:9" x14ac:dyDescent="0.25">
      <c r="A211" s="3" t="s">
        <v>212</v>
      </c>
      <c r="B211" s="3">
        <v>379</v>
      </c>
      <c r="C211" s="3">
        <v>32</v>
      </c>
      <c r="D211" s="4">
        <f t="shared" si="18"/>
        <v>8.4432717678100261E-2</v>
      </c>
      <c r="E211" s="4">
        <f t="shared" si="19"/>
        <v>2.0778021516036329</v>
      </c>
      <c r="F211" s="4">
        <f t="shared" si="20"/>
        <v>6.0440861475105023E-2</v>
      </c>
      <c r="G211" s="4">
        <f t="shared" si="21"/>
        <v>0.11676454149050791</v>
      </c>
      <c r="H211" s="4">
        <f t="shared" si="22"/>
        <v>1.5955242236563585</v>
      </c>
      <c r="I211" s="3">
        <f t="shared" si="23"/>
        <v>2.5455303247354744</v>
      </c>
    </row>
    <row r="212" spans="1:9" x14ac:dyDescent="0.25">
      <c r="A212" s="3" t="s">
        <v>213</v>
      </c>
      <c r="B212" s="3">
        <v>411</v>
      </c>
      <c r="C212" s="3">
        <v>46</v>
      </c>
      <c r="D212" s="4">
        <f t="shared" si="18"/>
        <v>0.11192214111922141</v>
      </c>
      <c r="E212" s="4">
        <f t="shared" si="19"/>
        <v>2.4844235621500546</v>
      </c>
      <c r="F212" s="4">
        <f t="shared" si="20"/>
        <v>8.4964988485885032E-2</v>
      </c>
      <c r="G212" s="4">
        <f t="shared" si="21"/>
        <v>0.14606680774670114</v>
      </c>
      <c r="H212" s="4">
        <f t="shared" si="22"/>
        <v>2.0868684725047277</v>
      </c>
      <c r="I212" s="3">
        <f t="shared" si="23"/>
        <v>2.8685564719359284</v>
      </c>
    </row>
    <row r="213" spans="1:9" x14ac:dyDescent="0.25">
      <c r="A213" s="3" t="s">
        <v>214</v>
      </c>
      <c r="B213" s="3">
        <v>86</v>
      </c>
      <c r="C213" s="3">
        <v>10</v>
      </c>
      <c r="D213" s="4">
        <f t="shared" si="18"/>
        <v>0.11627906976744186</v>
      </c>
      <c r="E213" s="4">
        <f t="shared" si="19"/>
        <v>2.5395195299599891</v>
      </c>
      <c r="F213" s="4">
        <f t="shared" si="20"/>
        <v>6.4399764943425725E-2</v>
      </c>
      <c r="G213" s="4">
        <f t="shared" si="21"/>
        <v>0.200973959478223</v>
      </c>
      <c r="H213" s="4">
        <f t="shared" si="22"/>
        <v>1.6870554225701266</v>
      </c>
      <c r="I213" s="3">
        <f t="shared" si="23"/>
        <v>3.3289366760655343</v>
      </c>
    </row>
    <row r="214" spans="1:9" x14ac:dyDescent="0.25">
      <c r="A214" s="3" t="s">
        <v>215</v>
      </c>
      <c r="B214" s="3">
        <v>99</v>
      </c>
      <c r="C214" s="3">
        <v>8</v>
      </c>
      <c r="D214" s="4">
        <f t="shared" si="18"/>
        <v>8.0808080808080815E-2</v>
      </c>
      <c r="E214" s="4">
        <f t="shared" si="19"/>
        <v>2.0144995696951153</v>
      </c>
      <c r="F214" s="4">
        <f t="shared" si="20"/>
        <v>4.1513905489622999E-2</v>
      </c>
      <c r="G214" s="4">
        <f t="shared" si="21"/>
        <v>0.15141969336531511</v>
      </c>
      <c r="H214" s="4">
        <f t="shared" si="22"/>
        <v>1.0535946622587655</v>
      </c>
      <c r="I214" s="3">
        <f t="shared" si="23"/>
        <v>2.9204809466629453</v>
      </c>
    </row>
    <row r="215" spans="1:9" x14ac:dyDescent="0.25">
      <c r="A215" s="3" t="s">
        <v>216</v>
      </c>
      <c r="B215" s="3">
        <v>246</v>
      </c>
      <c r="C215" s="3">
        <v>28</v>
      </c>
      <c r="D215" s="4">
        <f t="shared" si="18"/>
        <v>0.11382113821138211</v>
      </c>
      <c r="E215" s="4">
        <f t="shared" si="19"/>
        <v>2.5086966064930887</v>
      </c>
      <c r="F215" s="4">
        <f t="shared" si="20"/>
        <v>7.9932111421034069E-2</v>
      </c>
      <c r="G215" s="4">
        <f t="shared" si="21"/>
        <v>0.15958604728432166</v>
      </c>
      <c r="H215" s="4">
        <f t="shared" si="22"/>
        <v>1.9987751987862907</v>
      </c>
      <c r="I215" s="3">
        <f t="shared" si="23"/>
        <v>2.996262616161538</v>
      </c>
    </row>
    <row r="216" spans="1:9" x14ac:dyDescent="0.25">
      <c r="A216" s="3" t="s">
        <v>217</v>
      </c>
      <c r="B216" s="3">
        <v>129</v>
      </c>
      <c r="C216" s="3">
        <v>7</v>
      </c>
      <c r="D216" s="4">
        <f t="shared" si="18"/>
        <v>5.4263565891472867E-2</v>
      </c>
      <c r="E216" s="4">
        <f t="shared" si="19"/>
        <v>1.4399838564090748</v>
      </c>
      <c r="F216" s="4">
        <f t="shared" si="20"/>
        <v>2.6530617490702069E-2</v>
      </c>
      <c r="G216" s="4">
        <f t="shared" si="21"/>
        <v>0.10777670792543263</v>
      </c>
      <c r="H216" s="4">
        <f t="shared" si="22"/>
        <v>0.40765825417220514</v>
      </c>
      <c r="I216" s="3">
        <f t="shared" si="23"/>
        <v>2.4299735198118246</v>
      </c>
    </row>
    <row r="217" spans="1:9" x14ac:dyDescent="0.25">
      <c r="A217" s="3" t="s">
        <v>218</v>
      </c>
      <c r="B217" s="3">
        <v>1664</v>
      </c>
      <c r="C217" s="3">
        <v>100</v>
      </c>
      <c r="D217" s="4">
        <f t="shared" si="18"/>
        <v>6.0096153846153848E-2</v>
      </c>
      <c r="E217" s="4">
        <f t="shared" si="19"/>
        <v>1.5872726614083574</v>
      </c>
      <c r="F217" s="4">
        <f t="shared" si="20"/>
        <v>4.9658212224296977E-2</v>
      </c>
      <c r="G217" s="4">
        <f t="shared" si="21"/>
        <v>7.2560588410007856E-2</v>
      </c>
      <c r="H217" s="4">
        <f t="shared" si="22"/>
        <v>1.3120323231021811</v>
      </c>
      <c r="I217" s="3">
        <f t="shared" si="23"/>
        <v>1.8591861550499855</v>
      </c>
    </row>
    <row r="218" spans="1:9" x14ac:dyDescent="0.25">
      <c r="A218" s="3" t="s">
        <v>219</v>
      </c>
      <c r="B218" s="3">
        <v>408</v>
      </c>
      <c r="C218" s="3">
        <v>43</v>
      </c>
      <c r="D218" s="4">
        <f t="shared" si="18"/>
        <v>0.1053921568627451</v>
      </c>
      <c r="E218" s="4">
        <f t="shared" si="19"/>
        <v>2.3976956025053271</v>
      </c>
      <c r="F218" s="4">
        <f t="shared" si="20"/>
        <v>7.9189521376741553E-2</v>
      </c>
      <c r="G218" s="4">
        <f t="shared" si="21"/>
        <v>0.13895648427203214</v>
      </c>
      <c r="H218" s="4">
        <f t="shared" si="22"/>
        <v>1.9853095406841457</v>
      </c>
      <c r="I218" s="3">
        <f t="shared" si="23"/>
        <v>2.7965612529870758</v>
      </c>
    </row>
    <row r="219" spans="1:9" x14ac:dyDescent="0.25">
      <c r="A219" s="3" t="s">
        <v>220</v>
      </c>
      <c r="B219" s="3">
        <v>392</v>
      </c>
      <c r="C219" s="3">
        <v>36</v>
      </c>
      <c r="D219" s="4">
        <f t="shared" si="18"/>
        <v>9.1836734693877556E-2</v>
      </c>
      <c r="E219" s="4">
        <f t="shared" si="19"/>
        <v>2.1990713471018291</v>
      </c>
      <c r="F219" s="4">
        <f t="shared" si="20"/>
        <v>6.7073263250054749E-2</v>
      </c>
      <c r="G219" s="4">
        <f t="shared" si="21"/>
        <v>0.12452256700123768</v>
      </c>
      <c r="H219" s="4">
        <f t="shared" si="22"/>
        <v>1.7457377937948213</v>
      </c>
      <c r="I219" s="3">
        <f t="shared" si="23"/>
        <v>2.6383353179071807</v>
      </c>
    </row>
    <row r="220" spans="1:9" x14ac:dyDescent="0.25">
      <c r="A220" s="3" t="s">
        <v>221</v>
      </c>
      <c r="B220" s="3">
        <v>7</v>
      </c>
      <c r="C220" s="3">
        <v>0</v>
      </c>
      <c r="D220" s="4" t="str">
        <f t="shared" si="18"/>
        <v>NaN</v>
      </c>
      <c r="E220" s="4" t="str">
        <f t="shared" si="19"/>
        <v>NaN</v>
      </c>
      <c r="F220" s="4" t="str">
        <f t="shared" si="20"/>
        <v>NaN</v>
      </c>
      <c r="G220" s="4" t="str">
        <f t="shared" si="21"/>
        <v>NaN</v>
      </c>
      <c r="H220" s="4" t="str">
        <f t="shared" si="22"/>
        <v>NaN</v>
      </c>
      <c r="I220" s="3" t="str">
        <f t="shared" si="23"/>
        <v>NaN</v>
      </c>
    </row>
    <row r="221" spans="1:9" x14ac:dyDescent="0.25">
      <c r="A221" s="3" t="s">
        <v>222</v>
      </c>
      <c r="B221" s="3">
        <v>87</v>
      </c>
      <c r="C221" s="3">
        <v>7</v>
      </c>
      <c r="D221" s="4">
        <f t="shared" si="18"/>
        <v>8.0459770114942528E-2</v>
      </c>
      <c r="E221" s="4">
        <f t="shared" si="19"/>
        <v>2.0082676159836006</v>
      </c>
      <c r="F221" s="4">
        <f t="shared" si="20"/>
        <v>3.9519768444352343E-2</v>
      </c>
      <c r="G221" s="4">
        <f t="shared" si="21"/>
        <v>0.15688364144715111</v>
      </c>
      <c r="H221" s="4">
        <f t="shared" si="22"/>
        <v>0.98257449385671902</v>
      </c>
      <c r="I221" s="3">
        <f t="shared" si="23"/>
        <v>2.971623022505943</v>
      </c>
    </row>
    <row r="222" spans="1:9" x14ac:dyDescent="0.25">
      <c r="A222" s="3" t="s">
        <v>223</v>
      </c>
      <c r="B222" s="3">
        <v>114</v>
      </c>
      <c r="C222" s="3">
        <v>3</v>
      </c>
      <c r="D222" s="4">
        <f t="shared" si="18"/>
        <v>2.6315789473684209E-2</v>
      </c>
      <c r="E222" s="4">
        <f t="shared" si="19"/>
        <v>0.3959286763311391</v>
      </c>
      <c r="F222" s="4">
        <f t="shared" si="20"/>
        <v>8.9893984519457248E-3</v>
      </c>
      <c r="G222" s="4">
        <f t="shared" si="21"/>
        <v>7.4526100319286165E-2</v>
      </c>
      <c r="H222" s="4">
        <f t="shared" si="22"/>
        <v>-1.153703517460354</v>
      </c>
      <c r="I222" s="3">
        <f t="shared" si="23"/>
        <v>1.897745770631861</v>
      </c>
    </row>
    <row r="223" spans="1:9" x14ac:dyDescent="0.25">
      <c r="A223" s="3" t="s">
        <v>224</v>
      </c>
      <c r="B223" s="3">
        <v>418</v>
      </c>
      <c r="C223" s="3">
        <v>31</v>
      </c>
      <c r="D223" s="4">
        <f t="shared" si="18"/>
        <v>7.4162679425837319E-2</v>
      </c>
      <c r="E223" s="4">
        <f t="shared" si="19"/>
        <v>1.8906933680807172</v>
      </c>
      <c r="F223" s="4">
        <f t="shared" si="20"/>
        <v>5.2735910269948137E-2</v>
      </c>
      <c r="G223" s="4">
        <f t="shared" si="21"/>
        <v>0.10334542452491326</v>
      </c>
      <c r="H223" s="4">
        <f t="shared" si="22"/>
        <v>1.3987856928929661</v>
      </c>
      <c r="I223" s="3">
        <f t="shared" si="23"/>
        <v>2.3694026117461209</v>
      </c>
    </row>
    <row r="224" spans="1:9" x14ac:dyDescent="0.25">
      <c r="A224" s="3" t="s">
        <v>225</v>
      </c>
      <c r="B224" s="3">
        <v>75</v>
      </c>
      <c r="C224" s="3">
        <v>9</v>
      </c>
      <c r="D224" s="4">
        <f t="shared" si="18"/>
        <v>0.12</v>
      </c>
      <c r="E224" s="4">
        <f t="shared" si="19"/>
        <v>2.5849625007211561</v>
      </c>
      <c r="F224" s="4">
        <f t="shared" si="20"/>
        <v>6.4432989690721643E-2</v>
      </c>
      <c r="G224" s="4">
        <f t="shared" si="21"/>
        <v>0.2125984251968504</v>
      </c>
      <c r="H224" s="4">
        <f t="shared" si="22"/>
        <v>1.6877995373623218</v>
      </c>
      <c r="I224" s="3">
        <f t="shared" si="23"/>
        <v>3.4100590051660276</v>
      </c>
    </row>
    <row r="225" spans="1:9" x14ac:dyDescent="0.25">
      <c r="A225" s="3" t="s">
        <v>226</v>
      </c>
      <c r="B225" s="3">
        <v>19</v>
      </c>
      <c r="C225" s="3">
        <v>0</v>
      </c>
      <c r="D225" s="4" t="str">
        <f t="shared" si="18"/>
        <v>NaN</v>
      </c>
      <c r="E225" s="4" t="str">
        <f t="shared" si="19"/>
        <v>NaN</v>
      </c>
      <c r="F225" s="4" t="str">
        <f t="shared" si="20"/>
        <v>NaN</v>
      </c>
      <c r="G225" s="4" t="str">
        <f t="shared" si="21"/>
        <v>NaN</v>
      </c>
      <c r="H225" s="4" t="str">
        <f t="shared" si="22"/>
        <v>NaN</v>
      </c>
      <c r="I225" s="3" t="str">
        <f t="shared" si="23"/>
        <v>NaN</v>
      </c>
    </row>
    <row r="226" spans="1:9" x14ac:dyDescent="0.25">
      <c r="A226" s="3" t="s">
        <v>227</v>
      </c>
      <c r="B226" s="3">
        <v>41</v>
      </c>
      <c r="C226" s="3">
        <v>5</v>
      </c>
      <c r="D226" s="4">
        <f t="shared" si="18"/>
        <v>0.12195121951219512</v>
      </c>
      <c r="E226" s="4">
        <f t="shared" si="19"/>
        <v>2.6082322800440036</v>
      </c>
      <c r="F226" s="4">
        <f t="shared" si="20"/>
        <v>5.3232579973408231E-2</v>
      </c>
      <c r="G226" s="4">
        <f t="shared" si="21"/>
        <v>0.25544507648844861</v>
      </c>
      <c r="H226" s="4">
        <f t="shared" si="22"/>
        <v>1.4123094897021009</v>
      </c>
      <c r="I226" s="3">
        <f t="shared" si="23"/>
        <v>3.6749412240320898</v>
      </c>
    </row>
    <row r="227" spans="1:9" x14ac:dyDescent="0.25">
      <c r="A227" s="3" t="s">
        <v>228</v>
      </c>
      <c r="B227" s="3">
        <v>3035</v>
      </c>
      <c r="C227" s="3">
        <v>430</v>
      </c>
      <c r="D227" s="4">
        <f t="shared" si="18"/>
        <v>0.14168039538714991</v>
      </c>
      <c r="E227" s="4">
        <f t="shared" si="19"/>
        <v>2.8245682382211403</v>
      </c>
      <c r="F227" s="4">
        <f t="shared" si="20"/>
        <v>0.12972624829636897</v>
      </c>
      <c r="G227" s="4">
        <f t="shared" si="21"/>
        <v>0.15454049334623587</v>
      </c>
      <c r="H227" s="4">
        <f t="shared" si="22"/>
        <v>2.6973985132255107</v>
      </c>
      <c r="I227" s="3">
        <f t="shared" si="23"/>
        <v>2.949913003537838</v>
      </c>
    </row>
    <row r="228" spans="1:9" x14ac:dyDescent="0.25">
      <c r="A228" s="3" t="s">
        <v>229</v>
      </c>
      <c r="B228" s="3">
        <v>59</v>
      </c>
      <c r="C228" s="3">
        <v>3</v>
      </c>
      <c r="D228" s="4">
        <f t="shared" si="18"/>
        <v>5.0847457627118647E-2</v>
      </c>
      <c r="E228" s="4">
        <f t="shared" si="19"/>
        <v>1.34617564113404</v>
      </c>
      <c r="F228" s="4">
        <f t="shared" si="20"/>
        <v>1.7442401159453304E-2</v>
      </c>
      <c r="G228" s="4">
        <f t="shared" si="21"/>
        <v>0.1391672332228667</v>
      </c>
      <c r="H228" s="4">
        <f t="shared" si="22"/>
        <v>-0.19740134162919246</v>
      </c>
      <c r="I228" s="3">
        <f t="shared" si="23"/>
        <v>2.7987476650426424</v>
      </c>
    </row>
    <row r="229" spans="1:9" x14ac:dyDescent="0.25">
      <c r="A229" s="3" t="s">
        <v>230</v>
      </c>
      <c r="B229" s="3">
        <v>63</v>
      </c>
      <c r="C229" s="3">
        <v>10</v>
      </c>
      <c r="D229" s="4">
        <f t="shared" si="18"/>
        <v>0.15873015873015872</v>
      </c>
      <c r="E229" s="4">
        <f t="shared" si="19"/>
        <v>2.9885043611621702</v>
      </c>
      <c r="F229" s="4">
        <f t="shared" si="20"/>
        <v>8.856997432352591E-2</v>
      </c>
      <c r="G229" s="4">
        <f t="shared" si="21"/>
        <v>0.26811807623181688</v>
      </c>
      <c r="H229" s="4">
        <f t="shared" si="22"/>
        <v>2.1468177006289011</v>
      </c>
      <c r="I229" s="3">
        <f t="shared" si="23"/>
        <v>3.7447965824319644</v>
      </c>
    </row>
    <row r="230" spans="1:9" x14ac:dyDescent="0.25">
      <c r="A230" s="3" t="s">
        <v>231</v>
      </c>
      <c r="B230" s="3">
        <v>357</v>
      </c>
      <c r="C230" s="3">
        <v>24</v>
      </c>
      <c r="D230" s="4">
        <f t="shared" si="18"/>
        <v>6.7226890756302518E-2</v>
      </c>
      <c r="E230" s="4">
        <f t="shared" si="19"/>
        <v>1.7490384264667811</v>
      </c>
      <c r="F230" s="4">
        <f t="shared" si="20"/>
        <v>4.5588805314804637E-2</v>
      </c>
      <c r="G230" s="4">
        <f t="shared" si="21"/>
        <v>9.8079773917745042E-2</v>
      </c>
      <c r="H230" s="4">
        <f t="shared" si="22"/>
        <v>1.1886796029076532</v>
      </c>
      <c r="I230" s="3">
        <f t="shared" si="23"/>
        <v>2.2939556534972509</v>
      </c>
    </row>
    <row r="231" spans="1:9" x14ac:dyDescent="0.25">
      <c r="A231" s="3" t="s">
        <v>232</v>
      </c>
      <c r="B231" s="3">
        <v>1714</v>
      </c>
      <c r="C231" s="3">
        <v>195</v>
      </c>
      <c r="D231" s="4">
        <f t="shared" si="18"/>
        <v>0.11376896149358226</v>
      </c>
      <c r="E231" s="4">
        <f t="shared" si="19"/>
        <v>2.5080351094118356</v>
      </c>
      <c r="F231" s="4">
        <f t="shared" si="20"/>
        <v>9.9592018350701722E-2</v>
      </c>
      <c r="G231" s="4">
        <f t="shared" si="21"/>
        <v>0.12967335745577543</v>
      </c>
      <c r="H231" s="4">
        <f t="shared" si="22"/>
        <v>2.3160301243487993</v>
      </c>
      <c r="I231" s="3">
        <f t="shared" si="23"/>
        <v>2.696810190400047</v>
      </c>
    </row>
    <row r="232" spans="1:9" x14ac:dyDescent="0.25">
      <c r="A232" s="3" t="s">
        <v>233</v>
      </c>
      <c r="B232" s="3">
        <v>134</v>
      </c>
      <c r="C232" s="3">
        <v>6</v>
      </c>
      <c r="D232" s="4">
        <f t="shared" si="18"/>
        <v>4.4776119402985072E-2</v>
      </c>
      <c r="E232" s="4">
        <f t="shared" si="19"/>
        <v>1.1627295000381084</v>
      </c>
      <c r="F232" s="4">
        <f t="shared" si="20"/>
        <v>2.0680206883838287E-2</v>
      </c>
      <c r="G232" s="4">
        <f t="shared" si="21"/>
        <v>9.42459112111345E-2</v>
      </c>
      <c r="H232" s="4">
        <f t="shared" si="22"/>
        <v>4.8250618379858785E-2</v>
      </c>
      <c r="I232" s="3">
        <f t="shared" si="23"/>
        <v>2.2364300294860571</v>
      </c>
    </row>
    <row r="233" spans="1:9" x14ac:dyDescent="0.25">
      <c r="A233" s="3" t="s">
        <v>234</v>
      </c>
      <c r="B233" s="3">
        <v>26</v>
      </c>
      <c r="C233" s="3">
        <v>5</v>
      </c>
      <c r="D233" s="4">
        <f t="shared" si="18"/>
        <v>0.19230769230769232</v>
      </c>
      <c r="E233" s="4">
        <f t="shared" si="19"/>
        <v>3.2653445665209948</v>
      </c>
      <c r="F233" s="4">
        <f t="shared" si="20"/>
        <v>8.5069357717882682E-2</v>
      </c>
      <c r="G233" s="4">
        <f t="shared" si="21"/>
        <v>0.37876636154650001</v>
      </c>
      <c r="H233" s="4">
        <f t="shared" si="22"/>
        <v>2.0886395616487321</v>
      </c>
      <c r="I233" s="3">
        <f t="shared" si="23"/>
        <v>4.2432363048251984</v>
      </c>
    </row>
    <row r="234" spans="1:9" x14ac:dyDescent="0.25">
      <c r="A234" s="3" t="s">
        <v>235</v>
      </c>
      <c r="B234" s="3">
        <v>43</v>
      </c>
      <c r="C234" s="3">
        <v>8</v>
      </c>
      <c r="D234" s="4">
        <f t="shared" si="18"/>
        <v>0.18604651162790697</v>
      </c>
      <c r="E234" s="4">
        <f t="shared" si="19"/>
        <v>3.2175914350726273</v>
      </c>
      <c r="F234" s="4">
        <f t="shared" si="20"/>
        <v>9.7416355801059812E-2</v>
      </c>
      <c r="G234" s="4">
        <f t="shared" si="21"/>
        <v>0.32617293235305961</v>
      </c>
      <c r="H234" s="4">
        <f t="shared" si="22"/>
        <v>2.2841640151422826</v>
      </c>
      <c r="I234" s="3">
        <f t="shared" si="23"/>
        <v>4.0275651590331965</v>
      </c>
    </row>
    <row r="235" spans="1:9" x14ac:dyDescent="0.25">
      <c r="A235" s="3" t="s">
        <v>236</v>
      </c>
      <c r="B235" s="3">
        <v>309</v>
      </c>
      <c r="C235" s="3">
        <v>37</v>
      </c>
      <c r="D235" s="4">
        <f t="shared" si="18"/>
        <v>0.11974110032362459</v>
      </c>
      <c r="E235" s="4">
        <f t="shared" si="19"/>
        <v>2.5818465274992999</v>
      </c>
      <c r="F235" s="4">
        <f t="shared" si="20"/>
        <v>8.8132156755916929E-2</v>
      </c>
      <c r="G235" s="4">
        <f t="shared" si="21"/>
        <v>0.16068897189193554</v>
      </c>
      <c r="H235" s="4">
        <f t="shared" si="22"/>
        <v>2.1396685109467461</v>
      </c>
      <c r="I235" s="3">
        <f t="shared" si="23"/>
        <v>3.0061990149223847</v>
      </c>
    </row>
    <row r="236" spans="1:9" x14ac:dyDescent="0.25">
      <c r="A236" s="3" t="s">
        <v>237</v>
      </c>
      <c r="B236" s="3">
        <v>101</v>
      </c>
      <c r="C236" s="3">
        <v>32</v>
      </c>
      <c r="D236" s="4">
        <f t="shared" si="18"/>
        <v>0.31683168316831684</v>
      </c>
      <c r="E236" s="4">
        <f t="shared" si="19"/>
        <v>3.9856447070229302</v>
      </c>
      <c r="F236" s="4">
        <f t="shared" si="20"/>
        <v>0.23423391085400688</v>
      </c>
      <c r="G236" s="4">
        <f t="shared" si="21"/>
        <v>0.41285274177243136</v>
      </c>
      <c r="H236" s="4">
        <f t="shared" si="22"/>
        <v>3.549878049801467</v>
      </c>
      <c r="I236" s="3">
        <f t="shared" si="23"/>
        <v>4.36755538113563</v>
      </c>
    </row>
    <row r="237" spans="1:9" x14ac:dyDescent="0.25">
      <c r="A237" s="3" t="s">
        <v>238</v>
      </c>
      <c r="B237" s="3">
        <v>77</v>
      </c>
      <c r="C237" s="3">
        <v>4</v>
      </c>
      <c r="D237" s="4">
        <f t="shared" si="18"/>
        <v>5.1948051948051951E-2</v>
      </c>
      <c r="E237" s="4">
        <f t="shared" si="19"/>
        <v>1.3770696490798233</v>
      </c>
      <c r="F237" s="4">
        <f t="shared" si="20"/>
        <v>2.0384388604939376E-2</v>
      </c>
      <c r="G237" s="4">
        <f t="shared" si="21"/>
        <v>0.12609465188906374</v>
      </c>
      <c r="H237" s="4">
        <f t="shared" si="22"/>
        <v>2.7464686291765902E-2</v>
      </c>
      <c r="I237" s="3">
        <f t="shared" si="23"/>
        <v>2.6564351821573955</v>
      </c>
    </row>
    <row r="238" spans="1:9" x14ac:dyDescent="0.25">
      <c r="A238" s="3" t="s">
        <v>239</v>
      </c>
      <c r="B238" s="3">
        <v>102</v>
      </c>
      <c r="C238" s="3">
        <v>13</v>
      </c>
      <c r="D238" s="4">
        <f t="shared" si="18"/>
        <v>0.12745098039215685</v>
      </c>
      <c r="E238" s="4">
        <f t="shared" si="19"/>
        <v>2.6718705659443214</v>
      </c>
      <c r="F238" s="4">
        <f t="shared" si="20"/>
        <v>7.6017614165277539E-2</v>
      </c>
      <c r="G238" s="4">
        <f t="shared" si="21"/>
        <v>0.20592823699343515</v>
      </c>
      <c r="H238" s="4">
        <f t="shared" si="22"/>
        <v>1.9263337465108956</v>
      </c>
      <c r="I238" s="3">
        <f t="shared" si="23"/>
        <v>3.364069761561296</v>
      </c>
    </row>
    <row r="239" spans="1:9" x14ac:dyDescent="0.25">
      <c r="A239" s="3" t="s">
        <v>240</v>
      </c>
      <c r="B239" s="3">
        <v>1026</v>
      </c>
      <c r="C239" s="3">
        <v>91</v>
      </c>
      <c r="D239" s="4">
        <f t="shared" si="18"/>
        <v>8.8693957115009742E-2</v>
      </c>
      <c r="E239" s="4">
        <f t="shared" si="19"/>
        <v>2.1488358143663668</v>
      </c>
      <c r="F239" s="4">
        <f t="shared" si="20"/>
        <v>7.2796582825416623E-2</v>
      </c>
      <c r="G239" s="4">
        <f t="shared" si="21"/>
        <v>0.10765990679395786</v>
      </c>
      <c r="H239" s="4">
        <f t="shared" si="22"/>
        <v>1.8638707298672041</v>
      </c>
      <c r="I239" s="3">
        <f t="shared" si="23"/>
        <v>2.42840917635165</v>
      </c>
    </row>
    <row r="240" spans="1:9" x14ac:dyDescent="0.25">
      <c r="A240" s="3" t="s">
        <v>241</v>
      </c>
      <c r="B240" s="3">
        <v>271</v>
      </c>
      <c r="C240" s="3">
        <v>31</v>
      </c>
      <c r="D240" s="4">
        <f t="shared" si="18"/>
        <v>0.11439114391143912</v>
      </c>
      <c r="E240" s="4">
        <f t="shared" si="19"/>
        <v>2.5159034588077285</v>
      </c>
      <c r="F240" s="4">
        <f t="shared" si="20"/>
        <v>8.1767140991831549E-2</v>
      </c>
      <c r="G240" s="4">
        <f t="shared" si="21"/>
        <v>0.15779484671308652</v>
      </c>
      <c r="H240" s="4">
        <f t="shared" si="22"/>
        <v>2.0315211970537108</v>
      </c>
      <c r="I240" s="3">
        <f t="shared" si="23"/>
        <v>2.9799781852648839</v>
      </c>
    </row>
    <row r="241" spans="1:9" x14ac:dyDescent="0.25">
      <c r="A241" s="3" t="s">
        <v>242</v>
      </c>
      <c r="B241" s="3">
        <v>9</v>
      </c>
      <c r="C241" s="3">
        <v>1</v>
      </c>
      <c r="D241" s="4">
        <f t="shared" si="18"/>
        <v>0.1111111111111111</v>
      </c>
      <c r="E241" s="4">
        <f t="shared" si="19"/>
        <v>2.4739311883324122</v>
      </c>
      <c r="F241" s="4">
        <f t="shared" si="20"/>
        <v>1.9890371327130518E-2</v>
      </c>
      <c r="G241" s="4">
        <f t="shared" si="21"/>
        <v>0.43500621476806017</v>
      </c>
      <c r="H241" s="4">
        <f t="shared" si="22"/>
        <v>-7.9297903537731348E-3</v>
      </c>
      <c r="I241" s="3">
        <f t="shared" si="23"/>
        <v>4.4429641072303685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Cyril VOYANT</dc:creator>
  <cp:lastModifiedBy>Cyril VOYANT</cp:lastModifiedBy>
  <dcterms:created xsi:type="dcterms:W3CDTF">2015-06-05T18:17:20Z</dcterms:created>
  <dcterms:modified xsi:type="dcterms:W3CDTF">2025-12-19T08:02:10Z</dcterms:modified>
</cp:coreProperties>
</file>