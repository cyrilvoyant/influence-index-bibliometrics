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mines-paristech.local\Sophia\OIE\Staff\cvoyant\Bureau\TOP2%\PLOS\"/>
    </mc:Choice>
  </mc:AlternateContent>
  <xr:revisionPtr revIDLastSave="0" documentId="13_ncr:1_{B4E93D8C-A2BC-4EEF-813E-4E50F374E94E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H2" i="1" s="1"/>
  <c r="D3" i="1"/>
  <c r="D4" i="1"/>
  <c r="E4" i="1" s="1"/>
  <c r="D5" i="1"/>
  <c r="E5" i="1" s="1"/>
  <c r="D6" i="1"/>
  <c r="E6" i="1" s="1"/>
  <c r="D7" i="1"/>
  <c r="D8" i="1"/>
  <c r="D9" i="1"/>
  <c r="D10" i="1"/>
  <c r="E10" i="1" s="1"/>
  <c r="D11" i="1"/>
  <c r="E11" i="1" s="1"/>
  <c r="D12" i="1"/>
  <c r="D13" i="1"/>
  <c r="E13" i="1" s="1"/>
  <c r="D14" i="1"/>
  <c r="E14" i="1" s="1"/>
  <c r="D15" i="1"/>
  <c r="D16" i="1"/>
  <c r="E16" i="1" s="1"/>
  <c r="D17" i="1"/>
  <c r="E17" i="1" s="1"/>
  <c r="D18" i="1"/>
  <c r="E18" i="1" s="1"/>
  <c r="D19" i="1"/>
  <c r="D20" i="1"/>
  <c r="E20" i="1" s="1"/>
  <c r="D21" i="1"/>
  <c r="D22" i="1"/>
  <c r="E22" i="1" s="1"/>
  <c r="D23" i="1"/>
  <c r="E23" i="1" s="1"/>
  <c r="D24" i="1"/>
  <c r="E24" i="1" s="1"/>
  <c r="D25" i="1"/>
  <c r="E25" i="1" s="1"/>
  <c r="D26" i="1"/>
  <c r="E26" i="1" s="1"/>
  <c r="D27" i="1"/>
  <c r="D28" i="1"/>
  <c r="E28" i="1" s="1"/>
  <c r="D29" i="1"/>
  <c r="E29" i="1" s="1"/>
  <c r="D30" i="1"/>
  <c r="D31" i="1"/>
  <c r="E31" i="1" s="1"/>
  <c r="D32" i="1"/>
  <c r="E32" i="1" s="1"/>
  <c r="D33" i="1"/>
  <c r="D34" i="1"/>
  <c r="E34" i="1" s="1"/>
  <c r="D35" i="1"/>
  <c r="E35" i="1" s="1"/>
  <c r="D36" i="1"/>
  <c r="E36" i="1" s="1"/>
  <c r="D37" i="1"/>
  <c r="D38" i="1"/>
  <c r="E38" i="1" s="1"/>
  <c r="D39" i="1"/>
  <c r="D40" i="1"/>
  <c r="E40" i="1" s="1"/>
  <c r="D41" i="1"/>
  <c r="D42" i="1"/>
  <c r="D43" i="1"/>
  <c r="E43" i="1" s="1"/>
  <c r="D44" i="1"/>
  <c r="D45" i="1"/>
  <c r="D46" i="1"/>
  <c r="E46" i="1" s="1"/>
  <c r="D47" i="1"/>
  <c r="E47" i="1" s="1"/>
  <c r="D48" i="1"/>
  <c r="E48" i="1" s="1"/>
  <c r="D49" i="1"/>
  <c r="E49" i="1" s="1"/>
  <c r="D50" i="1"/>
  <c r="E50" i="1" s="1"/>
  <c r="D51" i="1"/>
  <c r="D52" i="1"/>
  <c r="E52" i="1" s="1"/>
  <c r="D53" i="1"/>
  <c r="D54" i="1"/>
  <c r="D55" i="1"/>
  <c r="E55" i="1" s="1"/>
  <c r="D56" i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D64" i="1"/>
  <c r="E64" i="1" s="1"/>
  <c r="D65" i="1"/>
  <c r="E65" i="1" s="1"/>
  <c r="D66" i="1"/>
  <c r="E66" i="1" s="1"/>
  <c r="D67" i="1"/>
  <c r="D68" i="1"/>
  <c r="E68" i="1" s="1"/>
  <c r="D69" i="1"/>
  <c r="E69" i="1" s="1"/>
  <c r="D70" i="1"/>
  <c r="D71" i="1"/>
  <c r="E71" i="1" s="1"/>
  <c r="D72" i="1"/>
  <c r="D73" i="1"/>
  <c r="E73" i="1" s="1"/>
  <c r="D74" i="1"/>
  <c r="E74" i="1" s="1"/>
  <c r="D75" i="1"/>
  <c r="E75" i="1" s="1"/>
  <c r="D76" i="1"/>
  <c r="E76" i="1" s="1"/>
  <c r="D77" i="1"/>
  <c r="E77" i="1" s="1"/>
  <c r="D78" i="1"/>
  <c r="D79" i="1"/>
  <c r="D80" i="1"/>
  <c r="E80" i="1" s="1"/>
  <c r="D81" i="1"/>
  <c r="D82" i="1"/>
  <c r="E82" i="1" s="1"/>
  <c r="D83" i="1"/>
  <c r="E83" i="1" s="1"/>
  <c r="D84" i="1"/>
  <c r="D85" i="1"/>
  <c r="E85" i="1" s="1"/>
  <c r="D86" i="1"/>
  <c r="E86" i="1" s="1"/>
  <c r="D87" i="1"/>
  <c r="D88" i="1"/>
  <c r="D89" i="1"/>
  <c r="D90" i="1"/>
  <c r="D91" i="1"/>
  <c r="D92" i="1"/>
  <c r="D93" i="1"/>
  <c r="E93" i="1" s="1"/>
  <c r="D94" i="1"/>
  <c r="E94" i="1" s="1"/>
  <c r="D95" i="1"/>
  <c r="E95" i="1" s="1"/>
  <c r="D96" i="1"/>
  <c r="D97" i="1"/>
  <c r="E97" i="1" s="1"/>
  <c r="D98" i="1"/>
  <c r="E98" i="1" s="1"/>
  <c r="D99" i="1"/>
  <c r="D100" i="1"/>
  <c r="E100" i="1" s="1"/>
  <c r="D101" i="1"/>
  <c r="D102" i="1"/>
  <c r="E102" i="1" s="1"/>
  <c r="D103" i="1"/>
  <c r="E103" i="1" s="1"/>
  <c r="D104" i="1"/>
  <c r="D105" i="1"/>
  <c r="E105" i="1" s="1"/>
  <c r="D106" i="1"/>
  <c r="D107" i="1"/>
  <c r="E107" i="1" s="1"/>
  <c r="D108" i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D115" i="1"/>
  <c r="D116" i="1"/>
  <c r="E116" i="1" s="1"/>
  <c r="D117" i="1"/>
  <c r="E117" i="1" s="1"/>
  <c r="D118" i="1"/>
  <c r="D119" i="1"/>
  <c r="E119" i="1" s="1"/>
  <c r="D120" i="1"/>
  <c r="D121" i="1"/>
  <c r="E121" i="1" s="1"/>
  <c r="D122" i="1"/>
  <c r="E122" i="1" s="1"/>
  <c r="D123" i="1"/>
  <c r="D124" i="1"/>
  <c r="E124" i="1" s="1"/>
  <c r="D125" i="1"/>
  <c r="D126" i="1"/>
  <c r="D127" i="1"/>
  <c r="E127" i="1" s="1"/>
  <c r="D128" i="1"/>
  <c r="D129" i="1"/>
  <c r="D130" i="1"/>
  <c r="E130" i="1" s="1"/>
  <c r="D131" i="1"/>
  <c r="E131" i="1" s="1"/>
  <c r="D132" i="1"/>
  <c r="D133" i="1"/>
  <c r="E133" i="1" s="1"/>
  <c r="D134" i="1"/>
  <c r="E134" i="1" s="1"/>
  <c r="D135" i="1"/>
  <c r="D136" i="1"/>
  <c r="E136" i="1" s="1"/>
  <c r="D137" i="1"/>
  <c r="D138" i="1"/>
  <c r="E138" i="1" s="1"/>
  <c r="D139" i="1"/>
  <c r="E139" i="1" s="1"/>
  <c r="D140" i="1"/>
  <c r="D141" i="1"/>
  <c r="E141" i="1" s="1"/>
  <c r="D142" i="1"/>
  <c r="E142" i="1" s="1"/>
  <c r="D143" i="1"/>
  <c r="E143" i="1" s="1"/>
  <c r="D144" i="1"/>
  <c r="D145" i="1"/>
  <c r="D146" i="1"/>
  <c r="E146" i="1" s="1"/>
  <c r="D147" i="1"/>
  <c r="D148" i="1"/>
  <c r="E148" i="1" s="1"/>
  <c r="D149" i="1"/>
  <c r="E149" i="1" s="1"/>
  <c r="D150" i="1"/>
  <c r="D151" i="1"/>
  <c r="D152" i="1"/>
  <c r="E152" i="1" s="1"/>
  <c r="D153" i="1"/>
  <c r="D154" i="1"/>
  <c r="E154" i="1" s="1"/>
  <c r="D155" i="1"/>
  <c r="E155" i="1" s="1"/>
  <c r="D156" i="1"/>
  <c r="D157" i="1"/>
  <c r="E157" i="1" s="1"/>
  <c r="D158" i="1"/>
  <c r="E158" i="1" s="1"/>
  <c r="D159" i="1"/>
  <c r="D160" i="1"/>
  <c r="E160" i="1" s="1"/>
  <c r="D161" i="1"/>
  <c r="D162" i="1"/>
  <c r="E162" i="1" s="1"/>
  <c r="D163" i="1"/>
  <c r="E163" i="1" s="1"/>
  <c r="D164" i="1"/>
  <c r="D165" i="1"/>
  <c r="D166" i="1"/>
  <c r="E166" i="1" s="1"/>
  <c r="D167" i="1"/>
  <c r="E167" i="1" s="1"/>
  <c r="D168" i="1"/>
  <c r="D169" i="1"/>
  <c r="E169" i="1" s="1"/>
  <c r="D170" i="1"/>
  <c r="E170" i="1" s="1"/>
  <c r="D171" i="1"/>
  <c r="D172" i="1"/>
  <c r="E172" i="1" s="1"/>
  <c r="D173" i="1"/>
  <c r="D174" i="1"/>
  <c r="D175" i="1"/>
  <c r="E175" i="1" s="1"/>
  <c r="D176" i="1"/>
  <c r="D177" i="1"/>
  <c r="E177" i="1" s="1"/>
  <c r="D178" i="1"/>
  <c r="E178" i="1" s="1"/>
  <c r="D179" i="1"/>
  <c r="E179" i="1" s="1"/>
  <c r="D180" i="1"/>
  <c r="D181" i="1"/>
  <c r="E181" i="1" s="1"/>
  <c r="D182" i="1"/>
  <c r="E182" i="1" s="1"/>
  <c r="D183" i="1"/>
  <c r="D184" i="1"/>
  <c r="E184" i="1" s="1"/>
  <c r="D185" i="1"/>
  <c r="D186" i="1"/>
  <c r="D187" i="1"/>
  <c r="D188" i="1"/>
  <c r="E188" i="1" s="1"/>
  <c r="D189" i="1"/>
  <c r="E189" i="1" s="1"/>
  <c r="D190" i="1"/>
  <c r="E190" i="1" s="1"/>
  <c r="D191" i="1"/>
  <c r="E191" i="1" s="1"/>
  <c r="D192" i="1"/>
  <c r="D193" i="1"/>
  <c r="E193" i="1" s="1"/>
  <c r="D194" i="1"/>
  <c r="E194" i="1" s="1"/>
  <c r="D195" i="1"/>
  <c r="D196" i="1"/>
  <c r="E196" i="1" s="1"/>
  <c r="D197" i="1"/>
  <c r="D198" i="1"/>
  <c r="E198" i="1" s="1"/>
  <c r="D199" i="1"/>
  <c r="E199" i="1" s="1"/>
  <c r="D200" i="1"/>
  <c r="D201" i="1"/>
  <c r="D202" i="1"/>
  <c r="E202" i="1" s="1"/>
  <c r="D203" i="1"/>
  <c r="E203" i="1" s="1"/>
  <c r="D204" i="1"/>
  <c r="D205" i="1"/>
  <c r="E205" i="1" s="1"/>
  <c r="D206" i="1"/>
  <c r="E206" i="1" s="1"/>
  <c r="D207" i="1"/>
  <c r="D208" i="1"/>
  <c r="E208" i="1" s="1"/>
  <c r="D209" i="1"/>
  <c r="D210" i="1"/>
  <c r="E210" i="1" s="1"/>
  <c r="D211" i="1"/>
  <c r="D212" i="1"/>
  <c r="D213" i="1"/>
  <c r="E213" i="1" s="1"/>
  <c r="D214" i="1"/>
  <c r="D215" i="1"/>
  <c r="E215" i="1" s="1"/>
  <c r="D216" i="1"/>
  <c r="D217" i="1"/>
  <c r="E217" i="1" s="1"/>
  <c r="D218" i="1"/>
  <c r="E218" i="1" s="1"/>
  <c r="D219" i="1"/>
  <c r="D220" i="1"/>
  <c r="D221" i="1"/>
  <c r="E221" i="1" s="1"/>
  <c r="D222" i="1"/>
  <c r="D223" i="1"/>
  <c r="E223" i="1" s="1"/>
  <c r="D224" i="1"/>
  <c r="E224" i="1" s="1"/>
  <c r="D225" i="1"/>
  <c r="D226" i="1"/>
  <c r="E226" i="1" s="1"/>
  <c r="D227" i="1"/>
  <c r="E227" i="1" s="1"/>
  <c r="D228" i="1"/>
  <c r="D229" i="1"/>
  <c r="E229" i="1" s="1"/>
  <c r="D230" i="1"/>
  <c r="E230" i="1" s="1"/>
  <c r="D231" i="1"/>
  <c r="D232" i="1"/>
  <c r="E232" i="1" s="1"/>
  <c r="D233" i="1"/>
  <c r="D234" i="1"/>
  <c r="E234" i="1" s="1"/>
  <c r="D235" i="1"/>
  <c r="D236" i="1"/>
  <c r="D237" i="1"/>
  <c r="E237" i="1" s="1"/>
  <c r="D238" i="1"/>
  <c r="D239" i="1"/>
  <c r="E239" i="1" s="1"/>
  <c r="D240" i="1"/>
  <c r="D241" i="1"/>
  <c r="E241" i="1" s="1"/>
  <c r="D2" i="1"/>
  <c r="E2" i="1" s="1"/>
  <c r="E3" i="1"/>
  <c r="F3" i="1"/>
  <c r="G3" i="1"/>
  <c r="H3" i="1"/>
  <c r="I3" i="1"/>
  <c r="F4" i="1"/>
  <c r="G4" i="1"/>
  <c r="H4" i="1"/>
  <c r="I4" i="1"/>
  <c r="F5" i="1"/>
  <c r="G5" i="1"/>
  <c r="I5" i="1" s="1"/>
  <c r="H5" i="1"/>
  <c r="F6" i="1"/>
  <c r="G6" i="1"/>
  <c r="H6" i="1"/>
  <c r="I6" i="1"/>
  <c r="E7" i="1"/>
  <c r="F7" i="1"/>
  <c r="H7" i="1" s="1"/>
  <c r="G7" i="1"/>
  <c r="I7" i="1"/>
  <c r="E8" i="1"/>
  <c r="F8" i="1"/>
  <c r="H8" i="1" s="1"/>
  <c r="G8" i="1"/>
  <c r="I8" i="1"/>
  <c r="E9" i="1"/>
  <c r="F9" i="1"/>
  <c r="G9" i="1"/>
  <c r="H9" i="1"/>
  <c r="I9" i="1"/>
  <c r="F10" i="1"/>
  <c r="G10" i="1"/>
  <c r="I10" i="1" s="1"/>
  <c r="H10" i="1"/>
  <c r="F11" i="1"/>
  <c r="G11" i="1"/>
  <c r="H11" i="1"/>
  <c r="I11" i="1"/>
  <c r="E12" i="1"/>
  <c r="F12" i="1"/>
  <c r="H12" i="1" s="1"/>
  <c r="G12" i="1"/>
  <c r="I12" i="1"/>
  <c r="F13" i="1"/>
  <c r="G13" i="1"/>
  <c r="I13" i="1" s="1"/>
  <c r="H13" i="1"/>
  <c r="F14" i="1"/>
  <c r="G14" i="1"/>
  <c r="H14" i="1"/>
  <c r="I14" i="1"/>
  <c r="E15" i="1"/>
  <c r="F15" i="1"/>
  <c r="G15" i="1"/>
  <c r="H15" i="1"/>
  <c r="I15" i="1"/>
  <c r="F16" i="1"/>
  <c r="H16" i="1" s="1"/>
  <c r="G16" i="1"/>
  <c r="I16" i="1" s="1"/>
  <c r="F17" i="1"/>
  <c r="G17" i="1"/>
  <c r="I17" i="1" s="1"/>
  <c r="H17" i="1"/>
  <c r="F18" i="1"/>
  <c r="G18" i="1"/>
  <c r="H18" i="1"/>
  <c r="I18" i="1"/>
  <c r="E19" i="1"/>
  <c r="F19" i="1"/>
  <c r="G19" i="1"/>
  <c r="H19" i="1"/>
  <c r="I19" i="1"/>
  <c r="F20" i="1"/>
  <c r="G20" i="1"/>
  <c r="H20" i="1"/>
  <c r="I20" i="1"/>
  <c r="E21" i="1"/>
  <c r="F21" i="1"/>
  <c r="G21" i="1"/>
  <c r="I21" i="1" s="1"/>
  <c r="H21" i="1"/>
  <c r="F22" i="1"/>
  <c r="H22" i="1" s="1"/>
  <c r="G22" i="1"/>
  <c r="I22" i="1" s="1"/>
  <c r="F23" i="1"/>
  <c r="G23" i="1"/>
  <c r="H23" i="1"/>
  <c r="I23" i="1"/>
  <c r="F24" i="1"/>
  <c r="G24" i="1"/>
  <c r="H24" i="1"/>
  <c r="I24" i="1"/>
  <c r="F25" i="1"/>
  <c r="H25" i="1" s="1"/>
  <c r="G25" i="1"/>
  <c r="I25" i="1" s="1"/>
  <c r="F26" i="1"/>
  <c r="G26" i="1"/>
  <c r="H26" i="1"/>
  <c r="I26" i="1"/>
  <c r="E27" i="1"/>
  <c r="F27" i="1"/>
  <c r="G27" i="1"/>
  <c r="H27" i="1"/>
  <c r="I27" i="1"/>
  <c r="F28" i="1"/>
  <c r="H28" i="1" s="1"/>
  <c r="G28" i="1"/>
  <c r="I28" i="1"/>
  <c r="F29" i="1"/>
  <c r="G29" i="1"/>
  <c r="H29" i="1"/>
  <c r="I29" i="1"/>
  <c r="E30" i="1"/>
  <c r="F30" i="1"/>
  <c r="G30" i="1"/>
  <c r="I30" i="1" s="1"/>
  <c r="H30" i="1"/>
  <c r="F31" i="1"/>
  <c r="H31" i="1" s="1"/>
  <c r="G31" i="1"/>
  <c r="I31" i="1" s="1"/>
  <c r="F32" i="1"/>
  <c r="G32" i="1"/>
  <c r="H32" i="1"/>
  <c r="I32" i="1"/>
  <c r="E33" i="1"/>
  <c r="F33" i="1"/>
  <c r="G33" i="1"/>
  <c r="H33" i="1"/>
  <c r="I33" i="1"/>
  <c r="F34" i="1"/>
  <c r="G34" i="1"/>
  <c r="H34" i="1"/>
  <c r="I34" i="1"/>
  <c r="F35" i="1"/>
  <c r="G35" i="1"/>
  <c r="I35" i="1" s="1"/>
  <c r="H35" i="1"/>
  <c r="F36" i="1"/>
  <c r="G36" i="1"/>
  <c r="I36" i="1" s="1"/>
  <c r="H36" i="1"/>
  <c r="E37" i="1"/>
  <c r="F37" i="1"/>
  <c r="G37" i="1"/>
  <c r="H37" i="1"/>
  <c r="I37" i="1"/>
  <c r="F38" i="1"/>
  <c r="H38" i="1" s="1"/>
  <c r="G38" i="1"/>
  <c r="I38" i="1" s="1"/>
  <c r="E39" i="1"/>
  <c r="F39" i="1"/>
  <c r="G39" i="1"/>
  <c r="I39" i="1" s="1"/>
  <c r="H39" i="1"/>
  <c r="F40" i="1"/>
  <c r="G40" i="1"/>
  <c r="H40" i="1"/>
  <c r="I40" i="1"/>
  <c r="E41" i="1"/>
  <c r="F41" i="1"/>
  <c r="G41" i="1"/>
  <c r="H41" i="1"/>
  <c r="I41" i="1"/>
  <c r="E42" i="1"/>
  <c r="F42" i="1"/>
  <c r="H42" i="1" s="1"/>
  <c r="G42" i="1"/>
  <c r="I42" i="1" s="1"/>
  <c r="F43" i="1"/>
  <c r="H43" i="1" s="1"/>
  <c r="G43" i="1"/>
  <c r="I43" i="1" s="1"/>
  <c r="E44" i="1"/>
  <c r="F44" i="1"/>
  <c r="G44" i="1"/>
  <c r="H44" i="1"/>
  <c r="I44" i="1"/>
  <c r="E45" i="1"/>
  <c r="F45" i="1"/>
  <c r="H45" i="1" s="1"/>
  <c r="G45" i="1"/>
  <c r="I45" i="1"/>
  <c r="F46" i="1"/>
  <c r="G46" i="1"/>
  <c r="H46" i="1"/>
  <c r="I46" i="1"/>
  <c r="F47" i="1"/>
  <c r="G47" i="1"/>
  <c r="H47" i="1"/>
  <c r="I47" i="1"/>
  <c r="F48" i="1"/>
  <c r="H48" i="1" s="1"/>
  <c r="G48" i="1"/>
  <c r="I48" i="1" s="1"/>
  <c r="F49" i="1"/>
  <c r="G49" i="1"/>
  <c r="H49" i="1"/>
  <c r="I49" i="1"/>
  <c r="F50" i="1"/>
  <c r="G50" i="1"/>
  <c r="H50" i="1"/>
  <c r="I50" i="1"/>
  <c r="E51" i="1"/>
  <c r="F51" i="1"/>
  <c r="H51" i="1" s="1"/>
  <c r="G51" i="1"/>
  <c r="I51" i="1" s="1"/>
  <c r="F52" i="1"/>
  <c r="G52" i="1"/>
  <c r="H52" i="1"/>
  <c r="I52" i="1"/>
  <c r="E53" i="1"/>
  <c r="F53" i="1"/>
  <c r="G53" i="1"/>
  <c r="H53" i="1"/>
  <c r="I53" i="1"/>
  <c r="E54" i="1"/>
  <c r="F54" i="1"/>
  <c r="G54" i="1"/>
  <c r="H54" i="1"/>
  <c r="I54" i="1"/>
  <c r="F55" i="1"/>
  <c r="G55" i="1"/>
  <c r="H55" i="1"/>
  <c r="I55" i="1"/>
  <c r="E56" i="1"/>
  <c r="F56" i="1"/>
  <c r="H56" i="1" s="1"/>
  <c r="G56" i="1"/>
  <c r="I56" i="1" s="1"/>
  <c r="F57" i="1"/>
  <c r="G57" i="1"/>
  <c r="H57" i="1"/>
  <c r="I57" i="1"/>
  <c r="F58" i="1"/>
  <c r="G58" i="1"/>
  <c r="H58" i="1"/>
  <c r="I58" i="1"/>
  <c r="F59" i="1"/>
  <c r="G59" i="1"/>
  <c r="H59" i="1"/>
  <c r="I59" i="1"/>
  <c r="F60" i="1"/>
  <c r="G60" i="1"/>
  <c r="H60" i="1"/>
  <c r="I60" i="1"/>
  <c r="F61" i="1"/>
  <c r="G61" i="1"/>
  <c r="H61" i="1"/>
  <c r="I61" i="1"/>
  <c r="F62" i="1"/>
  <c r="G62" i="1"/>
  <c r="H62" i="1"/>
  <c r="I62" i="1"/>
  <c r="E63" i="1"/>
  <c r="F63" i="1"/>
  <c r="G63" i="1"/>
  <c r="H63" i="1"/>
  <c r="I63" i="1"/>
  <c r="F64" i="1"/>
  <c r="G64" i="1"/>
  <c r="I64" i="1" s="1"/>
  <c r="H64" i="1"/>
  <c r="F65" i="1"/>
  <c r="H65" i="1" s="1"/>
  <c r="G65" i="1"/>
  <c r="I65" i="1" s="1"/>
  <c r="F66" i="1"/>
  <c r="G66" i="1"/>
  <c r="H66" i="1"/>
  <c r="I66" i="1"/>
  <c r="E67" i="1"/>
  <c r="F67" i="1"/>
  <c r="G67" i="1"/>
  <c r="H67" i="1"/>
  <c r="I67" i="1"/>
  <c r="F68" i="1"/>
  <c r="G68" i="1"/>
  <c r="H68" i="1"/>
  <c r="I68" i="1"/>
  <c r="F69" i="1"/>
  <c r="H69" i="1" s="1"/>
  <c r="G69" i="1"/>
  <c r="I69" i="1" s="1"/>
  <c r="E70" i="1"/>
  <c r="F70" i="1"/>
  <c r="G70" i="1"/>
  <c r="I70" i="1" s="1"/>
  <c r="H70" i="1"/>
  <c r="F71" i="1"/>
  <c r="G71" i="1"/>
  <c r="H71" i="1"/>
  <c r="I71" i="1"/>
  <c r="E72" i="1"/>
  <c r="F72" i="1"/>
  <c r="G72" i="1"/>
  <c r="H72" i="1"/>
  <c r="I72" i="1"/>
  <c r="F73" i="1"/>
  <c r="H73" i="1" s="1"/>
  <c r="G73" i="1"/>
  <c r="I73" i="1" s="1"/>
  <c r="F74" i="1"/>
  <c r="G74" i="1"/>
  <c r="H74" i="1"/>
  <c r="I74" i="1"/>
  <c r="F75" i="1"/>
  <c r="G75" i="1"/>
  <c r="H75" i="1"/>
  <c r="I75" i="1"/>
  <c r="F76" i="1"/>
  <c r="H76" i="1" s="1"/>
  <c r="G76" i="1"/>
  <c r="I76" i="1" s="1"/>
  <c r="F77" i="1"/>
  <c r="H77" i="1" s="1"/>
  <c r="G77" i="1"/>
  <c r="I77" i="1" s="1"/>
  <c r="E78" i="1"/>
  <c r="F78" i="1"/>
  <c r="G78" i="1"/>
  <c r="H78" i="1"/>
  <c r="I78" i="1"/>
  <c r="E79" i="1"/>
  <c r="F79" i="1"/>
  <c r="H79" i="1" s="1"/>
  <c r="G79" i="1"/>
  <c r="I79" i="1" s="1"/>
  <c r="F80" i="1"/>
  <c r="G80" i="1"/>
  <c r="H80" i="1"/>
  <c r="I80" i="1"/>
  <c r="E81" i="1"/>
  <c r="F81" i="1"/>
  <c r="G81" i="1"/>
  <c r="H81" i="1"/>
  <c r="I81" i="1"/>
  <c r="F82" i="1"/>
  <c r="H82" i="1" s="1"/>
  <c r="G82" i="1"/>
  <c r="I82" i="1"/>
  <c r="F83" i="1"/>
  <c r="G83" i="1"/>
  <c r="H83" i="1"/>
  <c r="I83" i="1"/>
  <c r="E84" i="1"/>
  <c r="F84" i="1"/>
  <c r="G84" i="1"/>
  <c r="I84" i="1" s="1"/>
  <c r="H84" i="1"/>
  <c r="F85" i="1"/>
  <c r="G85" i="1"/>
  <c r="H85" i="1"/>
  <c r="I85" i="1"/>
  <c r="F86" i="1"/>
  <c r="G86" i="1"/>
  <c r="H86" i="1"/>
  <c r="I86" i="1"/>
  <c r="E87" i="1"/>
  <c r="F87" i="1"/>
  <c r="H87" i="1" s="1"/>
  <c r="G87" i="1"/>
  <c r="I87" i="1" s="1"/>
  <c r="E88" i="1"/>
  <c r="F88" i="1"/>
  <c r="G88" i="1"/>
  <c r="H88" i="1"/>
  <c r="I88" i="1"/>
  <c r="E89" i="1"/>
  <c r="F89" i="1"/>
  <c r="G89" i="1"/>
  <c r="H89" i="1"/>
  <c r="I89" i="1"/>
  <c r="E90" i="1"/>
  <c r="F90" i="1"/>
  <c r="G90" i="1"/>
  <c r="H90" i="1"/>
  <c r="I90" i="1"/>
  <c r="E91" i="1"/>
  <c r="F91" i="1"/>
  <c r="G91" i="1"/>
  <c r="H91" i="1"/>
  <c r="I91" i="1"/>
  <c r="E92" i="1"/>
  <c r="F92" i="1"/>
  <c r="H92" i="1" s="1"/>
  <c r="G92" i="1"/>
  <c r="I92" i="1" s="1"/>
  <c r="F93" i="1"/>
  <c r="G93" i="1"/>
  <c r="H93" i="1"/>
  <c r="I93" i="1"/>
  <c r="F94" i="1"/>
  <c r="G94" i="1"/>
  <c r="H94" i="1"/>
  <c r="I94" i="1"/>
  <c r="F95" i="1"/>
  <c r="G95" i="1"/>
  <c r="H95" i="1"/>
  <c r="I95" i="1"/>
  <c r="E96" i="1"/>
  <c r="F96" i="1"/>
  <c r="G96" i="1"/>
  <c r="H96" i="1"/>
  <c r="I96" i="1"/>
  <c r="F97" i="1"/>
  <c r="G97" i="1"/>
  <c r="I97" i="1" s="1"/>
  <c r="H97" i="1"/>
  <c r="F98" i="1"/>
  <c r="G98" i="1"/>
  <c r="I98" i="1" s="1"/>
  <c r="H98" i="1"/>
  <c r="E99" i="1"/>
  <c r="F99" i="1"/>
  <c r="G99" i="1"/>
  <c r="H99" i="1"/>
  <c r="I99" i="1"/>
  <c r="F100" i="1"/>
  <c r="H100" i="1" s="1"/>
  <c r="G100" i="1"/>
  <c r="I100" i="1" s="1"/>
  <c r="E101" i="1"/>
  <c r="F101" i="1"/>
  <c r="H101" i="1" s="1"/>
  <c r="G101" i="1"/>
  <c r="I101" i="1" s="1"/>
  <c r="F102" i="1"/>
  <c r="G102" i="1"/>
  <c r="H102" i="1"/>
  <c r="I102" i="1"/>
  <c r="F103" i="1"/>
  <c r="G103" i="1"/>
  <c r="H103" i="1"/>
  <c r="I103" i="1"/>
  <c r="E104" i="1"/>
  <c r="F104" i="1"/>
  <c r="H104" i="1" s="1"/>
  <c r="G104" i="1"/>
  <c r="I104" i="1"/>
  <c r="F105" i="1"/>
  <c r="H105" i="1" s="1"/>
  <c r="G105" i="1"/>
  <c r="I105" i="1"/>
  <c r="E106" i="1"/>
  <c r="F106" i="1"/>
  <c r="G106" i="1"/>
  <c r="I106" i="1" s="1"/>
  <c r="H106" i="1"/>
  <c r="F107" i="1"/>
  <c r="G107" i="1"/>
  <c r="H107" i="1"/>
  <c r="I107" i="1"/>
  <c r="E108" i="1"/>
  <c r="F108" i="1"/>
  <c r="G108" i="1"/>
  <c r="H108" i="1"/>
  <c r="I108" i="1"/>
  <c r="F109" i="1"/>
  <c r="H109" i="1" s="1"/>
  <c r="G109" i="1"/>
  <c r="I109" i="1" s="1"/>
  <c r="F110" i="1"/>
  <c r="G110" i="1"/>
  <c r="I110" i="1" s="1"/>
  <c r="H110" i="1"/>
  <c r="F111" i="1"/>
  <c r="G111" i="1"/>
  <c r="H111" i="1"/>
  <c r="I111" i="1"/>
  <c r="F112" i="1"/>
  <c r="G112" i="1"/>
  <c r="I112" i="1" s="1"/>
  <c r="H112" i="1"/>
  <c r="F113" i="1"/>
  <c r="H113" i="1" s="1"/>
  <c r="G113" i="1"/>
  <c r="I113" i="1"/>
  <c r="E114" i="1"/>
  <c r="F114" i="1"/>
  <c r="G114" i="1"/>
  <c r="H114" i="1"/>
  <c r="I114" i="1"/>
  <c r="E115" i="1"/>
  <c r="F115" i="1"/>
  <c r="H115" i="1" s="1"/>
  <c r="G115" i="1"/>
  <c r="I115" i="1" s="1"/>
  <c r="F116" i="1"/>
  <c r="G116" i="1"/>
  <c r="H116" i="1"/>
  <c r="I116" i="1"/>
  <c r="F117" i="1"/>
  <c r="G117" i="1"/>
  <c r="H117" i="1"/>
  <c r="I117" i="1"/>
  <c r="E118" i="1"/>
  <c r="F118" i="1"/>
  <c r="G118" i="1"/>
  <c r="H118" i="1"/>
  <c r="I118" i="1"/>
  <c r="F119" i="1"/>
  <c r="G119" i="1"/>
  <c r="H119" i="1"/>
  <c r="I119" i="1"/>
  <c r="E120" i="1"/>
  <c r="F120" i="1"/>
  <c r="G120" i="1"/>
  <c r="I120" i="1" s="1"/>
  <c r="H120" i="1"/>
  <c r="F121" i="1"/>
  <c r="G121" i="1"/>
  <c r="H121" i="1"/>
  <c r="I121" i="1"/>
  <c r="F122" i="1"/>
  <c r="G122" i="1"/>
  <c r="H122" i="1"/>
  <c r="I122" i="1"/>
  <c r="E123" i="1"/>
  <c r="F123" i="1"/>
  <c r="H123" i="1" s="1"/>
  <c r="G123" i="1"/>
  <c r="I123" i="1" s="1"/>
  <c r="F124" i="1"/>
  <c r="H124" i="1" s="1"/>
  <c r="G124" i="1"/>
  <c r="I124" i="1" s="1"/>
  <c r="E125" i="1"/>
  <c r="F125" i="1"/>
  <c r="G125" i="1"/>
  <c r="H125" i="1"/>
  <c r="I125" i="1"/>
  <c r="E126" i="1"/>
  <c r="F126" i="1"/>
  <c r="G126" i="1"/>
  <c r="H126" i="1"/>
  <c r="I126" i="1"/>
  <c r="F127" i="1"/>
  <c r="G127" i="1"/>
  <c r="H127" i="1"/>
  <c r="I127" i="1"/>
  <c r="E128" i="1"/>
  <c r="F128" i="1"/>
  <c r="G128" i="1"/>
  <c r="H128" i="1"/>
  <c r="I128" i="1"/>
  <c r="E129" i="1"/>
  <c r="F129" i="1"/>
  <c r="H129" i="1" s="1"/>
  <c r="G129" i="1"/>
  <c r="I129" i="1"/>
  <c r="F130" i="1"/>
  <c r="G130" i="1"/>
  <c r="H130" i="1"/>
  <c r="I130" i="1"/>
  <c r="F131" i="1"/>
  <c r="G131" i="1"/>
  <c r="H131" i="1"/>
  <c r="I131" i="1"/>
  <c r="E132" i="1"/>
  <c r="F132" i="1"/>
  <c r="G132" i="1"/>
  <c r="H132" i="1"/>
  <c r="I132" i="1"/>
  <c r="F133" i="1"/>
  <c r="G133" i="1"/>
  <c r="I133" i="1" s="1"/>
  <c r="H133" i="1"/>
  <c r="F134" i="1"/>
  <c r="G134" i="1"/>
  <c r="I134" i="1" s="1"/>
  <c r="H134" i="1"/>
  <c r="E135" i="1"/>
  <c r="F135" i="1"/>
  <c r="G135" i="1"/>
  <c r="H135" i="1"/>
  <c r="I135" i="1"/>
  <c r="F136" i="1"/>
  <c r="H136" i="1" s="1"/>
  <c r="G136" i="1"/>
  <c r="I136" i="1" s="1"/>
  <c r="E137" i="1"/>
  <c r="F137" i="1"/>
  <c r="G137" i="1"/>
  <c r="I137" i="1" s="1"/>
  <c r="H137" i="1"/>
  <c r="F138" i="1"/>
  <c r="G138" i="1"/>
  <c r="H138" i="1"/>
  <c r="I138" i="1"/>
  <c r="F139" i="1"/>
  <c r="G139" i="1"/>
  <c r="H139" i="1"/>
  <c r="I139" i="1"/>
  <c r="E140" i="1"/>
  <c r="F140" i="1"/>
  <c r="H140" i="1" s="1"/>
  <c r="G140" i="1"/>
  <c r="I140" i="1" s="1"/>
  <c r="F141" i="1"/>
  <c r="H141" i="1" s="1"/>
  <c r="G141" i="1"/>
  <c r="I141" i="1"/>
  <c r="F142" i="1"/>
  <c r="G142" i="1"/>
  <c r="H142" i="1"/>
  <c r="I142" i="1"/>
  <c r="F143" i="1"/>
  <c r="H143" i="1" s="1"/>
  <c r="G143" i="1"/>
  <c r="I143" i="1"/>
  <c r="E144" i="1"/>
  <c r="F144" i="1"/>
  <c r="G144" i="1"/>
  <c r="H144" i="1"/>
  <c r="I144" i="1"/>
  <c r="E145" i="1"/>
  <c r="F145" i="1"/>
  <c r="H145" i="1" s="1"/>
  <c r="G145" i="1"/>
  <c r="I145" i="1" s="1"/>
  <c r="F146" i="1"/>
  <c r="H146" i="1" s="1"/>
  <c r="G146" i="1"/>
  <c r="I146" i="1" s="1"/>
  <c r="E147" i="1"/>
  <c r="F147" i="1"/>
  <c r="G147" i="1"/>
  <c r="H147" i="1"/>
  <c r="I147" i="1"/>
  <c r="F148" i="1"/>
  <c r="G148" i="1"/>
  <c r="I148" i="1" s="1"/>
  <c r="H148" i="1"/>
  <c r="F149" i="1"/>
  <c r="G149" i="1"/>
  <c r="H149" i="1"/>
  <c r="I149" i="1"/>
  <c r="E150" i="1"/>
  <c r="F150" i="1"/>
  <c r="G150" i="1"/>
  <c r="H150" i="1"/>
  <c r="I150" i="1"/>
  <c r="E151" i="1"/>
  <c r="F151" i="1"/>
  <c r="G151" i="1"/>
  <c r="H151" i="1"/>
  <c r="I151" i="1"/>
  <c r="F152" i="1"/>
  <c r="G152" i="1"/>
  <c r="H152" i="1"/>
  <c r="I152" i="1"/>
  <c r="E153" i="1"/>
  <c r="F153" i="1"/>
  <c r="H153" i="1" s="1"/>
  <c r="G153" i="1"/>
  <c r="I153" i="1" s="1"/>
  <c r="F154" i="1"/>
  <c r="G154" i="1"/>
  <c r="H154" i="1"/>
  <c r="I154" i="1"/>
  <c r="F155" i="1"/>
  <c r="G155" i="1"/>
  <c r="H155" i="1"/>
  <c r="I155" i="1"/>
  <c r="E156" i="1"/>
  <c r="F156" i="1"/>
  <c r="H156" i="1" s="1"/>
  <c r="G156" i="1"/>
  <c r="I156" i="1" s="1"/>
  <c r="F157" i="1"/>
  <c r="G157" i="1"/>
  <c r="H157" i="1"/>
  <c r="I157" i="1"/>
  <c r="F158" i="1"/>
  <c r="G158" i="1"/>
  <c r="H158" i="1"/>
  <c r="I158" i="1"/>
  <c r="E159" i="1"/>
  <c r="F159" i="1"/>
  <c r="H159" i="1" s="1"/>
  <c r="G159" i="1"/>
  <c r="I159" i="1"/>
  <c r="F160" i="1"/>
  <c r="G160" i="1"/>
  <c r="H160" i="1"/>
  <c r="I160" i="1"/>
  <c r="E161" i="1"/>
  <c r="F161" i="1"/>
  <c r="G161" i="1"/>
  <c r="H161" i="1"/>
  <c r="I161" i="1"/>
  <c r="F162" i="1"/>
  <c r="G162" i="1"/>
  <c r="I162" i="1" s="1"/>
  <c r="H162" i="1"/>
  <c r="F163" i="1"/>
  <c r="G163" i="1"/>
  <c r="H163" i="1"/>
  <c r="I163" i="1"/>
  <c r="E164" i="1"/>
  <c r="F164" i="1"/>
  <c r="H164" i="1" s="1"/>
  <c r="G164" i="1"/>
  <c r="I164" i="1"/>
  <c r="E165" i="1"/>
  <c r="F165" i="1"/>
  <c r="H165" i="1" s="1"/>
  <c r="G165" i="1"/>
  <c r="I165" i="1"/>
  <c r="F166" i="1"/>
  <c r="G166" i="1"/>
  <c r="I166" i="1" s="1"/>
  <c r="H166" i="1"/>
  <c r="F167" i="1"/>
  <c r="G167" i="1"/>
  <c r="H167" i="1"/>
  <c r="I167" i="1"/>
  <c r="E168" i="1"/>
  <c r="F168" i="1"/>
  <c r="G168" i="1"/>
  <c r="H168" i="1"/>
  <c r="I168" i="1"/>
  <c r="F169" i="1"/>
  <c r="H169" i="1" s="1"/>
  <c r="G169" i="1"/>
  <c r="I169" i="1" s="1"/>
  <c r="F170" i="1"/>
  <c r="G170" i="1"/>
  <c r="H170" i="1"/>
  <c r="I170" i="1"/>
  <c r="E171" i="1"/>
  <c r="F171" i="1"/>
  <c r="H171" i="1" s="1"/>
  <c r="G171" i="1"/>
  <c r="I171" i="1"/>
  <c r="F172" i="1"/>
  <c r="H172" i="1" s="1"/>
  <c r="G172" i="1"/>
  <c r="I172" i="1"/>
  <c r="E173" i="1"/>
  <c r="F173" i="1"/>
  <c r="G173" i="1"/>
  <c r="H173" i="1"/>
  <c r="I173" i="1"/>
  <c r="E174" i="1"/>
  <c r="F174" i="1"/>
  <c r="G174" i="1"/>
  <c r="I174" i="1" s="1"/>
  <c r="H174" i="1"/>
  <c r="F175" i="1"/>
  <c r="G175" i="1"/>
  <c r="H175" i="1"/>
  <c r="I175" i="1"/>
  <c r="E176" i="1"/>
  <c r="F176" i="1"/>
  <c r="G176" i="1"/>
  <c r="I176" i="1" s="1"/>
  <c r="H176" i="1"/>
  <c r="F177" i="1"/>
  <c r="G177" i="1"/>
  <c r="H177" i="1"/>
  <c r="I177" i="1"/>
  <c r="F178" i="1"/>
  <c r="G178" i="1"/>
  <c r="H178" i="1"/>
  <c r="I178" i="1"/>
  <c r="F179" i="1"/>
  <c r="G179" i="1"/>
  <c r="H179" i="1"/>
  <c r="I179" i="1"/>
  <c r="E180" i="1"/>
  <c r="F180" i="1"/>
  <c r="G180" i="1"/>
  <c r="H180" i="1"/>
  <c r="I180" i="1"/>
  <c r="F181" i="1"/>
  <c r="G181" i="1"/>
  <c r="H181" i="1"/>
  <c r="I181" i="1"/>
  <c r="F182" i="1"/>
  <c r="H182" i="1" s="1"/>
  <c r="G182" i="1"/>
  <c r="I182" i="1" s="1"/>
  <c r="E183" i="1"/>
  <c r="F183" i="1"/>
  <c r="G183" i="1"/>
  <c r="H183" i="1"/>
  <c r="I183" i="1"/>
  <c r="F184" i="1"/>
  <c r="G184" i="1"/>
  <c r="H184" i="1"/>
  <c r="I184" i="1"/>
  <c r="E185" i="1"/>
  <c r="F185" i="1"/>
  <c r="G185" i="1"/>
  <c r="H185" i="1"/>
  <c r="I185" i="1"/>
  <c r="E186" i="1"/>
  <c r="F186" i="1"/>
  <c r="G186" i="1"/>
  <c r="H186" i="1"/>
  <c r="I186" i="1"/>
  <c r="E187" i="1"/>
  <c r="F187" i="1"/>
  <c r="H187" i="1" s="1"/>
  <c r="G187" i="1"/>
  <c r="I187" i="1" s="1"/>
  <c r="F188" i="1"/>
  <c r="G188" i="1"/>
  <c r="H188" i="1"/>
  <c r="I188" i="1"/>
  <c r="F189" i="1"/>
  <c r="G189" i="1"/>
  <c r="H189" i="1"/>
  <c r="I189" i="1"/>
  <c r="F190" i="1"/>
  <c r="H190" i="1" s="1"/>
  <c r="G190" i="1"/>
  <c r="I190" i="1" s="1"/>
  <c r="F191" i="1"/>
  <c r="G191" i="1"/>
  <c r="H191" i="1"/>
  <c r="I191" i="1"/>
  <c r="E192" i="1"/>
  <c r="F192" i="1"/>
  <c r="G192" i="1"/>
  <c r="H192" i="1"/>
  <c r="I192" i="1"/>
  <c r="F193" i="1"/>
  <c r="H193" i="1" s="1"/>
  <c r="G193" i="1"/>
  <c r="I193" i="1" s="1"/>
  <c r="F194" i="1"/>
  <c r="G194" i="1"/>
  <c r="H194" i="1"/>
  <c r="I194" i="1"/>
  <c r="E195" i="1"/>
  <c r="F195" i="1"/>
  <c r="G195" i="1"/>
  <c r="H195" i="1"/>
  <c r="I195" i="1"/>
  <c r="F196" i="1"/>
  <c r="H196" i="1" s="1"/>
  <c r="G196" i="1"/>
  <c r="I196" i="1"/>
  <c r="E197" i="1"/>
  <c r="F197" i="1"/>
  <c r="G197" i="1"/>
  <c r="H197" i="1"/>
  <c r="I197" i="1"/>
  <c r="F198" i="1"/>
  <c r="G198" i="1"/>
  <c r="I198" i="1" s="1"/>
  <c r="H198" i="1"/>
  <c r="F199" i="1"/>
  <c r="G199" i="1"/>
  <c r="H199" i="1"/>
  <c r="I199" i="1"/>
  <c r="E200" i="1"/>
  <c r="F200" i="1"/>
  <c r="G200" i="1"/>
  <c r="H200" i="1"/>
  <c r="I200" i="1"/>
  <c r="E201" i="1"/>
  <c r="F201" i="1"/>
  <c r="H201" i="1" s="1"/>
  <c r="G201" i="1"/>
  <c r="I201" i="1"/>
  <c r="F202" i="1"/>
  <c r="G202" i="1"/>
  <c r="I202" i="1" s="1"/>
  <c r="H202" i="1"/>
  <c r="F203" i="1"/>
  <c r="G203" i="1"/>
  <c r="H203" i="1"/>
  <c r="I203" i="1"/>
  <c r="E204" i="1"/>
  <c r="F204" i="1"/>
  <c r="G204" i="1"/>
  <c r="H204" i="1"/>
  <c r="I204" i="1"/>
  <c r="F205" i="1"/>
  <c r="H205" i="1" s="1"/>
  <c r="G205" i="1"/>
  <c r="I205" i="1"/>
  <c r="F206" i="1"/>
  <c r="G206" i="1"/>
  <c r="H206" i="1"/>
  <c r="I206" i="1"/>
  <c r="E207" i="1"/>
  <c r="F207" i="1"/>
  <c r="G207" i="1"/>
  <c r="H207" i="1"/>
  <c r="I207" i="1"/>
  <c r="F208" i="1"/>
  <c r="G208" i="1"/>
  <c r="H208" i="1"/>
  <c r="I208" i="1"/>
  <c r="E209" i="1"/>
  <c r="F209" i="1"/>
  <c r="H209" i="1" s="1"/>
  <c r="G209" i="1"/>
  <c r="I209" i="1" s="1"/>
  <c r="F210" i="1"/>
  <c r="G210" i="1"/>
  <c r="I210" i="1" s="1"/>
  <c r="H210" i="1"/>
  <c r="E211" i="1"/>
  <c r="F211" i="1"/>
  <c r="G211" i="1"/>
  <c r="H211" i="1"/>
  <c r="I211" i="1"/>
  <c r="E212" i="1"/>
  <c r="F212" i="1"/>
  <c r="H212" i="1" s="1"/>
  <c r="G212" i="1"/>
  <c r="I212" i="1"/>
  <c r="F213" i="1"/>
  <c r="G213" i="1"/>
  <c r="H213" i="1"/>
  <c r="I213" i="1"/>
  <c r="E214" i="1"/>
  <c r="F214" i="1"/>
  <c r="H214" i="1" s="1"/>
  <c r="G214" i="1"/>
  <c r="I214" i="1" s="1"/>
  <c r="F215" i="1"/>
  <c r="G215" i="1"/>
  <c r="I215" i="1" s="1"/>
  <c r="H215" i="1"/>
  <c r="E216" i="1"/>
  <c r="F216" i="1"/>
  <c r="G216" i="1"/>
  <c r="H216" i="1"/>
  <c r="I216" i="1"/>
  <c r="F217" i="1"/>
  <c r="H217" i="1" s="1"/>
  <c r="G217" i="1"/>
  <c r="I217" i="1" s="1"/>
  <c r="F218" i="1"/>
  <c r="H218" i="1" s="1"/>
  <c r="G218" i="1"/>
  <c r="I218" i="1"/>
  <c r="E219" i="1"/>
  <c r="F219" i="1"/>
  <c r="G219" i="1"/>
  <c r="H219" i="1"/>
  <c r="I219" i="1"/>
  <c r="E220" i="1"/>
  <c r="F220" i="1"/>
  <c r="G220" i="1"/>
  <c r="H220" i="1"/>
  <c r="I220" i="1"/>
  <c r="F221" i="1"/>
  <c r="G221" i="1"/>
  <c r="H221" i="1"/>
  <c r="I221" i="1"/>
  <c r="E222" i="1"/>
  <c r="F222" i="1"/>
  <c r="G222" i="1"/>
  <c r="H222" i="1"/>
  <c r="I222" i="1"/>
  <c r="F223" i="1"/>
  <c r="G223" i="1"/>
  <c r="H223" i="1"/>
  <c r="I223" i="1"/>
  <c r="F224" i="1"/>
  <c r="G224" i="1"/>
  <c r="H224" i="1"/>
  <c r="I224" i="1"/>
  <c r="E225" i="1"/>
  <c r="F225" i="1"/>
  <c r="H225" i="1" s="1"/>
  <c r="G225" i="1"/>
  <c r="I225" i="1" s="1"/>
  <c r="F226" i="1"/>
  <c r="G226" i="1"/>
  <c r="H226" i="1"/>
  <c r="I226" i="1"/>
  <c r="F227" i="1"/>
  <c r="G227" i="1"/>
  <c r="H227" i="1"/>
  <c r="I227" i="1"/>
  <c r="E228" i="1"/>
  <c r="F228" i="1"/>
  <c r="H228" i="1" s="1"/>
  <c r="G228" i="1"/>
  <c r="I228" i="1"/>
  <c r="F229" i="1"/>
  <c r="G229" i="1"/>
  <c r="H229" i="1"/>
  <c r="I229" i="1"/>
  <c r="F230" i="1"/>
  <c r="G230" i="1"/>
  <c r="H230" i="1"/>
  <c r="I230" i="1"/>
  <c r="E231" i="1"/>
  <c r="F231" i="1"/>
  <c r="G231" i="1"/>
  <c r="H231" i="1"/>
  <c r="I231" i="1"/>
  <c r="F232" i="1"/>
  <c r="G232" i="1"/>
  <c r="H232" i="1"/>
  <c r="I232" i="1"/>
  <c r="E233" i="1"/>
  <c r="F233" i="1"/>
  <c r="H233" i="1" s="1"/>
  <c r="G233" i="1"/>
  <c r="I233" i="1" s="1"/>
  <c r="F234" i="1"/>
  <c r="G234" i="1"/>
  <c r="H234" i="1"/>
  <c r="I234" i="1"/>
  <c r="E235" i="1"/>
  <c r="F235" i="1"/>
  <c r="G235" i="1"/>
  <c r="H235" i="1"/>
  <c r="I235" i="1"/>
  <c r="E236" i="1"/>
  <c r="F236" i="1"/>
  <c r="G236" i="1"/>
  <c r="H236" i="1"/>
  <c r="I236" i="1"/>
  <c r="F237" i="1"/>
  <c r="G237" i="1"/>
  <c r="H237" i="1"/>
  <c r="I237" i="1"/>
  <c r="E238" i="1"/>
  <c r="F238" i="1"/>
  <c r="H238" i="1" s="1"/>
  <c r="G238" i="1"/>
  <c r="I238" i="1" s="1"/>
  <c r="F239" i="1"/>
  <c r="G239" i="1"/>
  <c r="H239" i="1"/>
  <c r="I239" i="1"/>
  <c r="E240" i="1"/>
  <c r="F240" i="1"/>
  <c r="G240" i="1"/>
  <c r="H240" i="1"/>
  <c r="I240" i="1"/>
  <c r="F241" i="1"/>
  <c r="H241" i="1" s="1"/>
  <c r="G241" i="1"/>
  <c r="I241" i="1"/>
  <c r="G2" i="1"/>
  <c r="I2" i="1" s="1"/>
</calcChain>
</file>

<file path=xl/sharedStrings.xml><?xml version="1.0" encoding="utf-8"?>
<sst xmlns="http://schemas.openxmlformats.org/spreadsheetml/2006/main" count="249" uniqueCount="249">
  <si>
    <t>Institution</t>
  </si>
  <si>
    <t>Primary analysis authors</t>
  </si>
  <si>
    <t>Top-cited</t>
  </si>
  <si>
    <t>AgroParisTech</t>
  </si>
  <si>
    <t>Air Liquide</t>
  </si>
  <si>
    <t>Aix Marseille Université</t>
  </si>
  <si>
    <t>Alstom</t>
  </si>
  <si>
    <t>ANSES - French Agency for Food, Environmental and Occupational Health &amp; Safety</t>
  </si>
  <si>
    <t>AP-HM Assistance Publique - Hôpitaux de Marseille</t>
  </si>
  <si>
    <t>AP-HP Assistance Publique - Hopitaux de Paris</t>
  </si>
  <si>
    <t>AREVA</t>
  </si>
  <si>
    <t>Arts et Metiers Institute of Technology</t>
  </si>
  <si>
    <t>Autorité de Sûreté Nucléaire et de Radioprotection - ASNR</t>
  </si>
  <si>
    <t>BioMérieux SA</t>
  </si>
  <si>
    <t>Bordeaux INP</t>
  </si>
  <si>
    <t>BRGM</t>
  </si>
  <si>
    <t>Centrale Méditerranée</t>
  </si>
  <si>
    <t>CentraleSupélec - Campus de Rennes</t>
  </si>
  <si>
    <t>CentraleSupélec - Paris-Saclay</t>
  </si>
  <si>
    <t>Centre de Recherche INRAE Provence-Alpes-Côte d’Azur</t>
  </si>
  <si>
    <t>Centre d'Etudes et d'Expertise sur les Risques, l'Environnement, la Mobilité et l'Aménagement</t>
  </si>
  <si>
    <t>Centre Hospitalier Intercommunal Creteil</t>
  </si>
  <si>
    <t>Centre Hospitalier Regional et Universitaire de Tours</t>
  </si>
  <si>
    <t>Centre Hospitalier Universitaire de Besançon</t>
  </si>
  <si>
    <t>Centre Hospitalier Universitaire de Bordeaux</t>
  </si>
  <si>
    <t>Centre Hospitalier Universitaire de Brest</t>
  </si>
  <si>
    <t>Centre Hospitalier Universitaire de Clermont-Ferrand</t>
  </si>
  <si>
    <t>Centre Hospitalier Universitaire de Grenoble</t>
  </si>
  <si>
    <t>Centre Hospitalier Universitaire de Montpellier</t>
  </si>
  <si>
    <t>Centre Hospitalier Universitaire de Nice</t>
  </si>
  <si>
    <t>Centre Hospitalier Universitaire de Nîmes</t>
  </si>
  <si>
    <t>Centre Hospitalier Universitaire de Poitiers</t>
  </si>
  <si>
    <t>Centre Hospitalier Universitaire de Rennes</t>
  </si>
  <si>
    <t>Centre Hospitalier Universitaire de Saint-Étienne</t>
  </si>
  <si>
    <t>Centre INRAE Bourgogne-Franche-Comté</t>
  </si>
  <si>
    <t>Centre INRAE Pays de la Loire</t>
  </si>
  <si>
    <t>Centre INRAE Val de Loire</t>
  </si>
  <si>
    <t>Centre international de Recherche sur le Cancer</t>
  </si>
  <si>
    <t>CGG SA.</t>
  </si>
  <si>
    <t>CGIAR System Organization</t>
  </si>
  <si>
    <t>CHU Amiens Picardie</t>
  </si>
  <si>
    <t>CHU Angers</t>
  </si>
  <si>
    <t>CHU de Caen Normandie</t>
  </si>
  <si>
    <t>CHU de Limoges</t>
  </si>
  <si>
    <t>CHU de Lyon</t>
  </si>
  <si>
    <t>CHU de Nancy</t>
  </si>
  <si>
    <t>CHU de Toulouse</t>
  </si>
  <si>
    <t>CHU Lille</t>
  </si>
  <si>
    <t>CHU Rouen Normandie</t>
  </si>
  <si>
    <t>CHV Centre Hospitalier de Versailles</t>
  </si>
  <si>
    <t>CIRAD</t>
  </si>
  <si>
    <t>CNES Centre National d'Etudes Spatiales</t>
  </si>
  <si>
    <t>CNRS Centre National de la Recherche Scientifique</t>
  </si>
  <si>
    <t>Collège de France</t>
  </si>
  <si>
    <t>Commissariat a l'Energie Atomique et aux Energies Alternatives</t>
  </si>
  <si>
    <t>Conservatoire National des Arts et Metiers</t>
  </si>
  <si>
    <t>CPE Lyon</t>
  </si>
  <si>
    <t>CRLC Centre Val d'Aurelle - Paul Lamarque</t>
  </si>
  <si>
    <t>CY Cergy Paris Université</t>
  </si>
  <si>
    <t>Dassault Systemes</t>
  </si>
  <si>
    <t>Ecole Centrale de Lille</t>
  </si>
  <si>
    <t>École Centrale de Lyon</t>
  </si>
  <si>
    <t>École des hautes études commerciales de Paris</t>
  </si>
  <si>
    <t>École des Hautes Études en Sciences Sociales</t>
  </si>
  <si>
    <t>École des Mines de Saint-Étienne</t>
  </si>
  <si>
    <t>École Nationale des ponts et Chaussées</t>
  </si>
  <si>
    <t>Ecole Nationale des Travaux Publics de l'Etat</t>
  </si>
  <si>
    <t>Ecole Nationale d'Ingenieurs de Brest</t>
  </si>
  <si>
    <t>École Nationale Supérieure d’Ingénieurs de Caen</t>
  </si>
  <si>
    <t>École Nationale Supérieure de Chimie de Paris</t>
  </si>
  <si>
    <t>Ecole Nationale Vétérinaire d'Alfort</t>
  </si>
  <si>
    <t>École Nationale Vétérinaire de Toulouse</t>
  </si>
  <si>
    <t>École Normale Supérieure</t>
  </si>
  <si>
    <t>École Normale Supérieure de Lyon</t>
  </si>
  <si>
    <t>École Normale Supérieure Paris-Saclay</t>
  </si>
  <si>
    <t>École Polytechnique</t>
  </si>
  <si>
    <t>École Pratique des Hautes Études</t>
  </si>
  <si>
    <t>École Supérieure de Physique et de Chimie Industrielles de la Ville de Paris</t>
  </si>
  <si>
    <t>Electricité de France</t>
  </si>
  <si>
    <t>EMLYON Business School</t>
  </si>
  <si>
    <t>ENSTA</t>
  </si>
  <si>
    <t>ESIEE</t>
  </si>
  <si>
    <t>ESSEC Business School</t>
  </si>
  <si>
    <t>Etablissement Français du Sang</t>
  </si>
  <si>
    <t>EURECOM</t>
  </si>
  <si>
    <t>European Space Agency - ESA</t>
  </si>
  <si>
    <t>European Synchrotron Radiation Facility</t>
  </si>
  <si>
    <t>Fondation Adolphe de Rothschild</t>
  </si>
  <si>
    <t>GENOPOLE</t>
  </si>
  <si>
    <t>Grenoble Ecole de Management</t>
  </si>
  <si>
    <t>Groupe Hospitalier Paris Saint-Joseph</t>
  </si>
  <si>
    <t>Groupe Pierre Fabre</t>
  </si>
  <si>
    <t>HIA Sainte-Anne a Toulon</t>
  </si>
  <si>
    <t>Hopital Ambroise Pare, Boulogne-Billancourt</t>
  </si>
  <si>
    <t>Hopital Avicenne</t>
  </si>
  <si>
    <t>Hôpital Brabois Adultes</t>
  </si>
  <si>
    <t>Hopital de Bicetre</t>
  </si>
  <si>
    <t>Hopital Foch</t>
  </si>
  <si>
    <t>Hôpital Henri Mondor</t>
  </si>
  <si>
    <t>Hopital Raymond Poincare</t>
  </si>
  <si>
    <t>IFP Energies nouvelles</t>
  </si>
  <si>
    <t>IFREMER Institut Francais de Recherche pour l'Exploitation de la Mer</t>
  </si>
  <si>
    <t>IMT Atlantique</t>
  </si>
  <si>
    <t>IMT Mines Albi</t>
  </si>
  <si>
    <t>IMT Mines Alès</t>
  </si>
  <si>
    <t>IMT Nord Europe</t>
  </si>
  <si>
    <t>IN2P3 - Institut National de Physique Nucléaire et de Physique Des Particules</t>
  </si>
  <si>
    <t>INC - Institut de Chimie</t>
  </si>
  <si>
    <t>INEE - Institut Écologie et Environnement</t>
  </si>
  <si>
    <t>INERIS Institut National de l'Environnement Industriel et des Risques</t>
  </si>
  <si>
    <t>INP - Institut de Physique</t>
  </si>
  <si>
    <t>INP Grenoble</t>
  </si>
  <si>
    <t>INRA Institut National de La Recherche Agronomique</t>
  </si>
  <si>
    <t>INRAE</t>
  </si>
  <si>
    <t>INRAE Occitanie-Toulouse Centre</t>
  </si>
  <si>
    <t>INRAE's Occitanie-Montpellier Centre</t>
  </si>
  <si>
    <t>INRIA Institut National de Recherche en Informatique et en Automatique</t>
  </si>
  <si>
    <t>INRS Institut National de Recherche et de Sécurité</t>
  </si>
  <si>
    <t>INS2I - Institut Des Sciences de L'Information et de Leurs Interactions</t>
  </si>
  <si>
    <t>INSA Centre Val de Loire</t>
  </si>
  <si>
    <t>INSA Lyon</t>
  </si>
  <si>
    <t>INSA Rouen Normandie</t>
  </si>
  <si>
    <t>INSA Toulouse</t>
  </si>
  <si>
    <t>INSB - Institut des Sciences Biologiques</t>
  </si>
  <si>
    <t>INSEAD, Europe</t>
  </si>
  <si>
    <t>Inserm</t>
  </si>
  <si>
    <t>INSHS - Institut des Sciences Humaines et Sociales</t>
  </si>
  <si>
    <t>INSIS - Institut des Sciences de L'Ingénierie et des Systèmes</t>
  </si>
  <si>
    <t>INSMI - Institut National des Sciences Mathématiques et de Leurs Interactions</t>
  </si>
  <si>
    <t>Institut Bergonie</t>
  </si>
  <si>
    <t>Institut Curie</t>
  </si>
  <si>
    <t>Institut de Cancérologie de l’Ouest</t>
  </si>
  <si>
    <t>Institut de Cancerologie Gustave Roussy</t>
  </si>
  <si>
    <t>Institut de recherche biomédicale des armées</t>
  </si>
  <si>
    <t>Institut d'Optique Graduate School</t>
  </si>
  <si>
    <t>Institut Français du Cheval et de l’Equitation</t>
  </si>
  <si>
    <t>Institut franco-allemand de recherches de Saint-Louis</t>
  </si>
  <si>
    <t>Institut Laue-Langevin</t>
  </si>
  <si>
    <t>Institut National de Recherche en Sciences et Technologies pour l'environnement et l'agriculture</t>
  </si>
  <si>
    <t>Institut National Polytechnique de Toulouse</t>
  </si>
  <si>
    <t>Institut Paoli-Calmettes</t>
  </si>
  <si>
    <t>Institut Pasteur de Lille</t>
  </si>
  <si>
    <t>Institut Pasteur, Paris</t>
  </si>
  <si>
    <t>Institut Polytechnique de Paris</t>
  </si>
  <si>
    <t>Institut Universitaire de France</t>
  </si>
  <si>
    <t>INSU - Institut National des Sciences de l'Univers</t>
  </si>
  <si>
    <t>Ipsen</t>
  </si>
  <si>
    <t>IRD Institut de Recherche pour le Developpement</t>
  </si>
  <si>
    <t>ISAE-SUPAERO</t>
  </si>
  <si>
    <t>ITER</t>
  </si>
  <si>
    <t>KEDGE Business School</t>
  </si>
  <si>
    <t>La Rochelle Université</t>
  </si>
  <si>
    <t>Laboratoire National de Metrologie et d'Essais</t>
  </si>
  <si>
    <t>Le Centre Régional de Lutte Contre le Cancer Léon Bérard</t>
  </si>
  <si>
    <t>Le Mans Université</t>
  </si>
  <si>
    <t>Les Hôpitaux Universitaires de Strasbourg</t>
  </si>
  <si>
    <t>L'Institut Agro</t>
  </si>
  <si>
    <t>L'Institut Mutualiste Montsouris</t>
  </si>
  <si>
    <t>L'Observatoire de Paris</t>
  </si>
  <si>
    <t>L'Organisation de Coopération et de Développement Economiques</t>
  </si>
  <si>
    <t>Météo France</t>
  </si>
  <si>
    <t>Mines Paris - PSL</t>
  </si>
  <si>
    <t>Museum National d'Histoire Naturelle</t>
  </si>
  <si>
    <t>Nantes Université</t>
  </si>
  <si>
    <t>Normandie Université</t>
  </si>
  <si>
    <t>ONERA Office National d'Etudes et Recherches Aerospatiales</t>
  </si>
  <si>
    <t>Oniris - Ecole Nationale Vétérinaire, Agroalimentaire et de l’Alimentation</t>
  </si>
  <si>
    <t>Orange Labs</t>
  </si>
  <si>
    <t>SAFRAN, France</t>
  </si>
  <si>
    <t>Sanofi S.A.</t>
  </si>
  <si>
    <t>Santé Publique France</t>
  </si>
  <si>
    <t>Sciences Po Paris</t>
  </si>
  <si>
    <t>Servier</t>
  </si>
  <si>
    <t>Sorbonne Université</t>
  </si>
  <si>
    <t>Télécom Paris</t>
  </si>
  <si>
    <t>Télécom SudParis</t>
  </si>
  <si>
    <t>Thales Group</t>
  </si>
  <si>
    <t>TotalEnergies SE</t>
  </si>
  <si>
    <t>Universita di Corsica Pascal Paoli</t>
  </si>
  <si>
    <t>Université Bourgogne Europe</t>
  </si>
  <si>
    <t>Université Catholique de Lille</t>
  </si>
  <si>
    <t>Université Claude Bernard Lyon 1</t>
  </si>
  <si>
    <t>Université Clermont Auvergne</t>
  </si>
  <si>
    <t>Université Côte d'Azur</t>
  </si>
  <si>
    <t>Université d’Angers</t>
  </si>
  <si>
    <t>Université d'Artois</t>
  </si>
  <si>
    <t>Université d'Avignon et des Pays du Vaucluse</t>
  </si>
  <si>
    <t>Université de Bordeaux</t>
  </si>
  <si>
    <t>Université de Bretagne Occidentale</t>
  </si>
  <si>
    <t>Université de Bretagne-Sud</t>
  </si>
  <si>
    <t>Université de Caen Normandie</t>
  </si>
  <si>
    <t>Université de Haute-Alsace</t>
  </si>
  <si>
    <t>Université de La Réunion</t>
  </si>
  <si>
    <t>Université de la Sorbonne Nouvelle Paris III</t>
  </si>
  <si>
    <t>Université de Lille</t>
  </si>
  <si>
    <t>Université de Limoges</t>
  </si>
  <si>
    <t>Université de Lorraine</t>
  </si>
  <si>
    <t>Université de Lyon</t>
  </si>
  <si>
    <t>Université de Montpellier</t>
  </si>
  <si>
    <t>Université de Montpellier Paul-Valéry</t>
  </si>
  <si>
    <t>Université de Pau et des Pays de l'Adour</t>
  </si>
  <si>
    <t>Université de Perpignan Via Domitia</t>
  </si>
  <si>
    <t>Université de Picardie Jules Verne</t>
  </si>
  <si>
    <t>Université de Poitiers</t>
  </si>
  <si>
    <t>Université de Reims Champagne-Ardenne</t>
  </si>
  <si>
    <t>Université de Rennes</t>
  </si>
  <si>
    <t>Université de Rouen Normandie</t>
  </si>
  <si>
    <t>Université de Strasbourg</t>
  </si>
  <si>
    <t>Université de Technologie de Compiègne</t>
  </si>
  <si>
    <t>Université de Technologie de Troyes</t>
  </si>
  <si>
    <t>Université de Toulon</t>
  </si>
  <si>
    <t>Université de Toulouse</t>
  </si>
  <si>
    <t>Université de Tours</t>
  </si>
  <si>
    <t>Université de Versailles Saint-Quentin-en-Yvelines</t>
  </si>
  <si>
    <t>Université des Antilles</t>
  </si>
  <si>
    <t>Université d'Evry Val d'Essonne</t>
  </si>
  <si>
    <t>Université d'Orléans</t>
  </si>
  <si>
    <t>Université du Littoral Côte d‘Opale</t>
  </si>
  <si>
    <t>Université Grenoble Alpes</t>
  </si>
  <si>
    <t>Université Gustave Eiffel</t>
  </si>
  <si>
    <t>Université Jean Monnet Saint Etienne</t>
  </si>
  <si>
    <t>Université Jean Moulin Lyon 3</t>
  </si>
  <si>
    <t>Université Le Havre Normandie</t>
  </si>
  <si>
    <t>Université Lumière Lyon 2</t>
  </si>
  <si>
    <t>Université Marie et Louis Pasteur</t>
  </si>
  <si>
    <t>Université Paris 1 Panthéon-Sorbonne</t>
  </si>
  <si>
    <t>Université Paris 2 Panthéon-Assas</t>
  </si>
  <si>
    <t>Université Paris 8 Vincennes-St Denis</t>
  </si>
  <si>
    <t>Université Paris Cité</t>
  </si>
  <si>
    <t>Université Paris Nanterre</t>
  </si>
  <si>
    <t>Université Paris-Dauphine</t>
  </si>
  <si>
    <t>Université Paris-Est Créteil Val de Marne</t>
  </si>
  <si>
    <t>Université Paris-Saclay</t>
  </si>
  <si>
    <t>Université Polytechnique Hauts-de-France</t>
  </si>
  <si>
    <t>Université PSL</t>
  </si>
  <si>
    <t>Université Rennes 2</t>
  </si>
  <si>
    <t>Université Savoie Mont Blanc</t>
  </si>
  <si>
    <t>Université Sorbonne Paris Cité</t>
  </si>
  <si>
    <t>Université Toulouse - Jean Jaurès</t>
  </si>
  <si>
    <t>Université Toulouse 1 Capitole</t>
  </si>
  <si>
    <t>Université Toulouse III - Paul Sabatier</t>
  </si>
  <si>
    <t>University Sorbonne Paris Nord</t>
  </si>
  <si>
    <t>Valeo</t>
  </si>
  <si>
    <t>I</t>
  </si>
  <si>
    <t>I_up</t>
  </si>
  <si>
    <t>Ratio (p)</t>
  </si>
  <si>
    <t>p_lo</t>
  </si>
  <si>
    <t>p_up</t>
  </si>
  <si>
    <t>I_low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</si>
</sst>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1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1" max="1" width="73" style="3" customWidth="1"/>
    <col min="2" max="2" width="24.5703125" style="3" customWidth="1"/>
    <col min="3" max="3" width="16" style="3" customWidth="1"/>
    <col min="4" max="4" width="20.28515625" style="4" customWidth="1"/>
    <col min="5" max="8" width="9.140625" style="4"/>
    <col min="9" max="16384" width="9.140625" style="3"/>
  </cols>
  <sheetData>
    <row r="1" spans="1:9" x14ac:dyDescent="0.25">
      <c r="A1" s="1" t="s">
        <v>0</v>
      </c>
      <c r="B1" s="7" t="s">
        <v>1</v>
      </c>
      <c r="C1" s="7" t="s">
        <v>2</v>
      </c>
      <c r="D1" s="2" t="s">
        <v>245</v>
      </c>
      <c r="E1" s="2" t="s">
        <v>243</v>
      </c>
      <c r="F1" s="2" t="s">
        <v>246</v>
      </c>
      <c r="G1" s="2" t="s">
        <v>247</v>
      </c>
      <c r="H1" s="6" t="s">
        <v>248</v>
      </c>
      <c r="I1" s="5" t="s">
        <v>244</v>
      </c>
    </row>
    <row r="2" spans="1:9" x14ac:dyDescent="0.25">
      <c r="A2" s="3" t="s">
        <v>3</v>
      </c>
      <c r="B2" s="3">
        <v>103</v>
      </c>
      <c r="C2" s="3">
        <v>15</v>
      </c>
      <c r="D2" s="4">
        <f>IF(C2=0,"NaN",C2/B2)</f>
        <v>0.14563106796116504</v>
      </c>
      <c r="E2" s="4">
        <f>IF(C2=0,"NaN",LN(D2/0.02)/LN(2))</f>
        <v>2.8642462582000245</v>
      </c>
      <c r="F2" s="4">
        <f>IF(C2=0,"NaN",_xlfn.LET(_xlpm.N,B2,_xlpm.X,C2,_xlpm.p,_xlpm.X/_xlpm.N,_xlpm.z,1.96,(_xlpm.p+_xlpm.z^2/(2*_xlpm.N)-_xlpm.z*SQRT(_xlpm.p*(1-_xlpm.p)/_xlpm.N+_xlpm.z^2/(4*_xlpm.N^2)))/(1+_xlpm.z^2/_xlpm.N))
)</f>
        <v>9.0283884877037632E-2</v>
      </c>
      <c r="G2" s="4">
        <f>IF(C2=0,"NaN",_xlfn.LET(_xlpm.N,B2,_xlpm.X,C2,_xlpm.p,_xlpm.X/_xlpm.N,_xlpm.z,1.96,(_xlpm.p+_xlpm.z^2/(2*_xlpm.N)+_xlpm.z*SQRT(_xlpm.p*(1-_xlpm.p)/_xlpm.N+_xlpm.z^2/(4*_xlpm.N^2)))/(1+_xlpm.z^2/_xlpm.N)))</f>
        <v>0.22646165244175959</v>
      </c>
      <c r="H2" s="4">
        <f>IF(C2=0,"NaN",LN(F2/0.02)/LN(2))</f>
        <v>2.1744684984173341</v>
      </c>
      <c r="I2" s="3">
        <f>IF(C2=0,"NaN",LN(G2/0.02)/LN(2))</f>
        <v>3.5011948691503516</v>
      </c>
    </row>
    <row r="3" spans="1:9" x14ac:dyDescent="0.25">
      <c r="A3" s="3" t="s">
        <v>4</v>
      </c>
      <c r="B3" s="3">
        <v>21</v>
      </c>
      <c r="C3" s="3">
        <v>2</v>
      </c>
      <c r="D3" s="4">
        <f t="shared" ref="D3:D66" si="0">IF(C3=0,"NaN",C3/B3)</f>
        <v>9.5238095238095233E-2</v>
      </c>
      <c r="E3" s="4">
        <f t="shared" ref="E3:E66" si="1">IF(C3=0,"NaN",LN(D3/0.02)/LN(2))</f>
        <v>2.2515387669959646</v>
      </c>
      <c r="F3" s="4">
        <f t="shared" ref="F3:F66" si="2">IF(C3=0,"NaN",_xlfn.LET(_xlpm.N,B3,_xlpm.X,C3,_xlpm.p,_xlpm.X/_xlpm.N,_xlpm.z,1.96,(_xlpm.p+_xlpm.z^2/(2*_xlpm.N)-_xlpm.z*SQRT(_xlpm.p*(1-_xlpm.p)/_xlpm.N+_xlpm.z^2/(4*_xlpm.N^2)))/(1+_xlpm.z^2/_xlpm.N))
)</f>
        <v>2.6518208796947225E-2</v>
      </c>
      <c r="G3" s="4">
        <f t="shared" ref="G3:G66" si="3">IF(C3=0,"NaN",_xlfn.LET(_xlpm.N,B3,_xlpm.X,C3,_xlpm.p,_xlpm.X/_xlpm.N,_xlpm.z,1.96,(_xlpm.p+_xlpm.z^2/(2*_xlpm.N)+_xlpm.z*SQRT(_xlpm.p*(1-_xlpm.p)/_xlpm.N+_xlpm.z^2/(4*_xlpm.N^2)))/(1+_xlpm.z^2/_xlpm.N)))</f>
        <v>0.28914583860740672</v>
      </c>
      <c r="H3" s="4">
        <f t="shared" ref="H3:H66" si="4">IF(C3=0,"NaN",LN(F3/0.02)/LN(2))</f>
        <v>0.40698333023803729</v>
      </c>
      <c r="I3" s="3">
        <f t="shared" ref="I3:I66" si="5">IF(C3=0,"NaN",LN(G3/0.02)/LN(2))</f>
        <v>3.853725433862786</v>
      </c>
    </row>
    <row r="4" spans="1:9" x14ac:dyDescent="0.25">
      <c r="A4" s="3" t="s">
        <v>5</v>
      </c>
      <c r="B4" s="3">
        <v>1755</v>
      </c>
      <c r="C4" s="3">
        <v>155</v>
      </c>
      <c r="D4" s="4">
        <f t="shared" si="0"/>
        <v>8.8319088319088315E-2</v>
      </c>
      <c r="E4" s="4">
        <f t="shared" si="1"/>
        <v>2.1427252798570393</v>
      </c>
      <c r="F4" s="4">
        <f t="shared" si="2"/>
        <v>7.5926355677877658E-2</v>
      </c>
      <c r="G4" s="4">
        <f t="shared" si="3"/>
        <v>0.10251017891398095</v>
      </c>
      <c r="H4" s="4">
        <f t="shared" si="4"/>
        <v>1.9246007631858231</v>
      </c>
      <c r="I4" s="3">
        <f t="shared" si="5"/>
        <v>2.3576952664679278</v>
      </c>
    </row>
    <row r="5" spans="1:9" x14ac:dyDescent="0.25">
      <c r="A5" s="3" t="s">
        <v>6</v>
      </c>
      <c r="B5" s="3">
        <v>8</v>
      </c>
      <c r="C5" s="3">
        <v>1</v>
      </c>
      <c r="D5" s="4">
        <f t="shared" si="0"/>
        <v>0.125</v>
      </c>
      <c r="E5" s="4">
        <f t="shared" si="1"/>
        <v>2.6438561897747248</v>
      </c>
      <c r="F5" s="4">
        <f t="shared" si="2"/>
        <v>2.241690886329618E-2</v>
      </c>
      <c r="G5" s="4">
        <f t="shared" si="3"/>
        <v>0.47089480576986148</v>
      </c>
      <c r="H5" s="4">
        <f t="shared" si="4"/>
        <v>0.16458735418923864</v>
      </c>
      <c r="I5" s="3">
        <f t="shared" si="5"/>
        <v>4.5573329038883799</v>
      </c>
    </row>
    <row r="6" spans="1:9" x14ac:dyDescent="0.25">
      <c r="A6" s="3" t="s">
        <v>7</v>
      </c>
      <c r="B6" s="3">
        <v>99</v>
      </c>
      <c r="C6" s="3">
        <v>5</v>
      </c>
      <c r="D6" s="4">
        <f t="shared" si="0"/>
        <v>5.0505050505050504E-2</v>
      </c>
      <c r="E6" s="4">
        <f t="shared" si="1"/>
        <v>1.3364276645824773</v>
      </c>
      <c r="F6" s="4">
        <f t="shared" si="2"/>
        <v>2.1762913556691119E-2</v>
      </c>
      <c r="G6" s="4">
        <f t="shared" si="3"/>
        <v>0.11282853581788105</v>
      </c>
      <c r="H6" s="4">
        <f t="shared" si="4"/>
        <v>0.12187171340852959</v>
      </c>
      <c r="I6" s="3">
        <f t="shared" si="5"/>
        <v>2.4960600852879065</v>
      </c>
    </row>
    <row r="7" spans="1:9" x14ac:dyDescent="0.25">
      <c r="A7" s="3" t="s">
        <v>8</v>
      </c>
      <c r="B7" s="3">
        <v>285</v>
      </c>
      <c r="C7" s="3">
        <v>16</v>
      </c>
      <c r="D7" s="4">
        <f t="shared" si="0"/>
        <v>5.6140350877192984E-2</v>
      </c>
      <c r="E7" s="4">
        <f t="shared" si="1"/>
        <v>1.4890380807226207</v>
      </c>
      <c r="F7" s="4">
        <f t="shared" si="2"/>
        <v>3.4848120684390846E-2</v>
      </c>
      <c r="G7" s="4">
        <f t="shared" si="3"/>
        <v>8.9239268389759152E-2</v>
      </c>
      <c r="H7" s="4">
        <f t="shared" si="4"/>
        <v>0.80108085545047791</v>
      </c>
      <c r="I7" s="3">
        <f t="shared" si="5"/>
        <v>2.1576786859846426</v>
      </c>
    </row>
    <row r="8" spans="1:9" x14ac:dyDescent="0.25">
      <c r="A8" s="3" t="s">
        <v>9</v>
      </c>
      <c r="B8" s="3">
        <v>292</v>
      </c>
      <c r="C8" s="3">
        <v>35</v>
      </c>
      <c r="D8" s="4">
        <f t="shared" si="0"/>
        <v>0.11986301369863013</v>
      </c>
      <c r="E8" s="4">
        <f t="shared" si="1"/>
        <v>2.583314647839674</v>
      </c>
      <c r="F8" s="4">
        <f t="shared" si="2"/>
        <v>8.745936521566923E-2</v>
      </c>
      <c r="G8" s="4">
        <f t="shared" si="3"/>
        <v>0.1621390685407734</v>
      </c>
      <c r="H8" s="4">
        <f t="shared" si="4"/>
        <v>2.1286128773062751</v>
      </c>
      <c r="I8" s="3">
        <f t="shared" si="5"/>
        <v>3.0191598550755412</v>
      </c>
    </row>
    <row r="9" spans="1:9" x14ac:dyDescent="0.25">
      <c r="A9" s="3" t="s">
        <v>10</v>
      </c>
      <c r="B9" s="3">
        <v>12</v>
      </c>
      <c r="C9" s="3">
        <v>0</v>
      </c>
      <c r="D9" s="4" t="str">
        <f t="shared" si="0"/>
        <v>NaN</v>
      </c>
      <c r="E9" s="4" t="str">
        <f t="shared" si="1"/>
        <v>NaN</v>
      </c>
      <c r="F9" s="4" t="str">
        <f t="shared" si="2"/>
        <v>NaN</v>
      </c>
      <c r="G9" s="4" t="str">
        <f t="shared" si="3"/>
        <v>NaN</v>
      </c>
      <c r="H9" s="4" t="str">
        <f t="shared" si="4"/>
        <v>NaN</v>
      </c>
      <c r="I9" s="3" t="str">
        <f t="shared" si="5"/>
        <v>NaN</v>
      </c>
    </row>
    <row r="10" spans="1:9" x14ac:dyDescent="0.25">
      <c r="A10" s="3" t="s">
        <v>11</v>
      </c>
      <c r="B10" s="3">
        <v>192</v>
      </c>
      <c r="C10" s="3">
        <v>20</v>
      </c>
      <c r="D10" s="4">
        <f t="shared" si="0"/>
        <v>0.10416666666666667</v>
      </c>
      <c r="E10" s="4">
        <f t="shared" si="1"/>
        <v>2.3808217839409309</v>
      </c>
      <c r="F10" s="4">
        <f t="shared" si="2"/>
        <v>6.8448387405384239E-2</v>
      </c>
      <c r="G10" s="4">
        <f t="shared" si="3"/>
        <v>0.15541416273717992</v>
      </c>
      <c r="H10" s="4">
        <f t="shared" si="4"/>
        <v>1.7750165530294126</v>
      </c>
      <c r="I10" s="3">
        <f t="shared" si="5"/>
        <v>2.9580460759796363</v>
      </c>
    </row>
    <row r="11" spans="1:9" x14ac:dyDescent="0.25">
      <c r="A11" s="3" t="s">
        <v>12</v>
      </c>
      <c r="B11" s="3">
        <v>90</v>
      </c>
      <c r="C11" s="3">
        <v>0</v>
      </c>
      <c r="D11" s="4" t="str">
        <f t="shared" si="0"/>
        <v>NaN</v>
      </c>
      <c r="E11" s="4" t="str">
        <f t="shared" si="1"/>
        <v>NaN</v>
      </c>
      <c r="F11" s="4" t="str">
        <f t="shared" si="2"/>
        <v>NaN</v>
      </c>
      <c r="G11" s="4" t="str">
        <f t="shared" si="3"/>
        <v>NaN</v>
      </c>
      <c r="H11" s="4" t="str">
        <f t="shared" si="4"/>
        <v>NaN</v>
      </c>
      <c r="I11" s="3" t="str">
        <f t="shared" si="5"/>
        <v>NaN</v>
      </c>
    </row>
    <row r="12" spans="1:9" x14ac:dyDescent="0.25">
      <c r="A12" s="3" t="s">
        <v>13</v>
      </c>
      <c r="B12" s="3">
        <v>10</v>
      </c>
      <c r="C12" s="3">
        <v>1</v>
      </c>
      <c r="D12" s="4">
        <f t="shared" si="0"/>
        <v>0.1</v>
      </c>
      <c r="E12" s="4">
        <f t="shared" si="1"/>
        <v>2.3219280948873622</v>
      </c>
      <c r="F12" s="4">
        <f t="shared" si="2"/>
        <v>1.7875749515721129E-2</v>
      </c>
      <c r="G12" s="4">
        <f t="shared" si="3"/>
        <v>0.4041563854975721</v>
      </c>
      <c r="H12" s="4">
        <f t="shared" si="4"/>
        <v>-0.16199626580440607</v>
      </c>
      <c r="I12" s="3">
        <f t="shared" si="5"/>
        <v>4.3368417366906717</v>
      </c>
    </row>
    <row r="13" spans="1:9" x14ac:dyDescent="0.25">
      <c r="A13" s="3" t="s">
        <v>14</v>
      </c>
      <c r="B13" s="3">
        <v>341</v>
      </c>
      <c r="C13" s="3">
        <v>32</v>
      </c>
      <c r="D13" s="4">
        <f t="shared" si="0"/>
        <v>9.3841642228739003E-2</v>
      </c>
      <c r="E13" s="4">
        <f t="shared" si="1"/>
        <v>2.2302282607505521</v>
      </c>
      <c r="F13" s="4">
        <f t="shared" si="2"/>
        <v>6.7257113443125877E-2</v>
      </c>
      <c r="G13" s="4">
        <f t="shared" si="3"/>
        <v>0.12947553134219003</v>
      </c>
      <c r="H13" s="4">
        <f t="shared" si="4"/>
        <v>1.7496868622624877</v>
      </c>
      <c r="I13" s="3">
        <f t="shared" si="5"/>
        <v>2.6946075739058024</v>
      </c>
    </row>
    <row r="14" spans="1:9" x14ac:dyDescent="0.25">
      <c r="A14" s="3" t="s">
        <v>15</v>
      </c>
      <c r="B14" s="3">
        <v>68</v>
      </c>
      <c r="C14" s="3">
        <v>5</v>
      </c>
      <c r="D14" s="4">
        <f t="shared" si="0"/>
        <v>7.3529411764705885E-2</v>
      </c>
      <c r="E14" s="4">
        <f t="shared" si="1"/>
        <v>1.8783214434117477</v>
      </c>
      <c r="F14" s="4">
        <f t="shared" si="2"/>
        <v>3.1814375154871552E-2</v>
      </c>
      <c r="G14" s="4">
        <f t="shared" si="3"/>
        <v>0.16085393958199404</v>
      </c>
      <c r="H14" s="4">
        <f t="shared" si="4"/>
        <v>0.66967878684750315</v>
      </c>
      <c r="I14" s="3">
        <f t="shared" si="5"/>
        <v>3.007679365325044</v>
      </c>
    </row>
    <row r="15" spans="1:9" x14ac:dyDescent="0.25">
      <c r="A15" s="3" t="s">
        <v>16</v>
      </c>
      <c r="B15" s="3">
        <v>165</v>
      </c>
      <c r="C15" s="3">
        <v>29</v>
      </c>
      <c r="D15" s="4">
        <f t="shared" si="0"/>
        <v>0.17575757575757575</v>
      </c>
      <c r="E15" s="4">
        <f t="shared" si="1"/>
        <v>3.1355149706564811</v>
      </c>
      <c r="F15" s="4">
        <f t="shared" si="2"/>
        <v>0.12525114851619204</v>
      </c>
      <c r="G15" s="4">
        <f t="shared" si="3"/>
        <v>0.24101877548358044</v>
      </c>
      <c r="H15" s="4">
        <f t="shared" si="4"/>
        <v>2.6467519274576881</v>
      </c>
      <c r="I15" s="3">
        <f t="shared" si="5"/>
        <v>3.591073632388107</v>
      </c>
    </row>
    <row r="16" spans="1:9" x14ac:dyDescent="0.25">
      <c r="A16" s="3" t="s">
        <v>17</v>
      </c>
      <c r="B16" s="3">
        <v>175</v>
      </c>
      <c r="C16" s="3">
        <v>23</v>
      </c>
      <c r="D16" s="4">
        <f t="shared" si="0"/>
        <v>0.13142857142857142</v>
      </c>
      <c r="E16" s="4">
        <f t="shared" si="1"/>
        <v>2.7162070339994089</v>
      </c>
      <c r="F16" s="4">
        <f t="shared" si="2"/>
        <v>8.9198029230893927E-2</v>
      </c>
      <c r="G16" s="4">
        <f t="shared" si="3"/>
        <v>0.18949328196292228</v>
      </c>
      <c r="H16" s="4">
        <f t="shared" si="4"/>
        <v>2.1570118351430541</v>
      </c>
      <c r="I16" s="3">
        <f t="shared" si="5"/>
        <v>3.2440747968426775</v>
      </c>
    </row>
    <row r="17" spans="1:9" x14ac:dyDescent="0.25">
      <c r="A17" s="3" t="s">
        <v>18</v>
      </c>
      <c r="B17" s="3">
        <v>190</v>
      </c>
      <c r="C17" s="3">
        <v>19</v>
      </c>
      <c r="D17" s="4">
        <f t="shared" si="0"/>
        <v>0.1</v>
      </c>
      <c r="E17" s="4">
        <f t="shared" si="1"/>
        <v>2.3219280948873622</v>
      </c>
      <c r="F17" s="4">
        <f t="shared" si="2"/>
        <v>6.4956563758086991E-2</v>
      </c>
      <c r="G17" s="4">
        <f t="shared" si="3"/>
        <v>0.1508980309212801</v>
      </c>
      <c r="H17" s="4">
        <f t="shared" si="4"/>
        <v>1.6994753150925022</v>
      </c>
      <c r="I17" s="3">
        <f t="shared" si="5"/>
        <v>2.9155020750485856</v>
      </c>
    </row>
    <row r="18" spans="1:9" x14ac:dyDescent="0.25">
      <c r="A18" s="3" t="s">
        <v>19</v>
      </c>
      <c r="B18" s="3">
        <v>126</v>
      </c>
      <c r="C18" s="3">
        <v>17</v>
      </c>
      <c r="D18" s="4">
        <f t="shared" si="0"/>
        <v>0.13492063492063491</v>
      </c>
      <c r="E18" s="4">
        <f t="shared" si="1"/>
        <v>2.7540391075251476</v>
      </c>
      <c r="F18" s="4">
        <f t="shared" si="2"/>
        <v>8.5973032271184233E-2</v>
      </c>
      <c r="G18" s="4">
        <f t="shared" si="3"/>
        <v>0.20547131222241413</v>
      </c>
      <c r="H18" s="4">
        <f t="shared" si="4"/>
        <v>2.1038841910941271</v>
      </c>
      <c r="I18" s="3">
        <f t="shared" si="5"/>
        <v>3.3608650746649462</v>
      </c>
    </row>
    <row r="19" spans="1:9" x14ac:dyDescent="0.25">
      <c r="A19" s="3" t="s">
        <v>20</v>
      </c>
      <c r="B19" s="3">
        <v>13</v>
      </c>
      <c r="C19" s="3">
        <v>0</v>
      </c>
      <c r="D19" s="4" t="str">
        <f t="shared" si="0"/>
        <v>NaN</v>
      </c>
      <c r="E19" s="4" t="str">
        <f t="shared" si="1"/>
        <v>NaN</v>
      </c>
      <c r="F19" s="4" t="str">
        <f t="shared" si="2"/>
        <v>NaN</v>
      </c>
      <c r="G19" s="4" t="str">
        <f t="shared" si="3"/>
        <v>NaN</v>
      </c>
      <c r="H19" s="4" t="str">
        <f t="shared" si="4"/>
        <v>NaN</v>
      </c>
      <c r="I19" s="3" t="str">
        <f t="shared" si="5"/>
        <v>NaN</v>
      </c>
    </row>
    <row r="20" spans="1:9" x14ac:dyDescent="0.25">
      <c r="A20" s="3" t="s">
        <v>21</v>
      </c>
      <c r="B20" s="3">
        <v>33</v>
      </c>
      <c r="C20" s="3">
        <v>3</v>
      </c>
      <c r="D20" s="4">
        <f t="shared" si="0"/>
        <v>9.0909090909090912E-2</v>
      </c>
      <c r="E20" s="4">
        <f t="shared" si="1"/>
        <v>2.1844245711374275</v>
      </c>
      <c r="F20" s="4">
        <f t="shared" si="2"/>
        <v>3.1403371049263058E-2</v>
      </c>
      <c r="G20" s="4">
        <f t="shared" si="3"/>
        <v>0.23572943534351032</v>
      </c>
      <c r="H20" s="4">
        <f t="shared" si="4"/>
        <v>0.65091943602805602</v>
      </c>
      <c r="I20" s="3">
        <f t="shared" si="5"/>
        <v>3.5590600128841712</v>
      </c>
    </row>
    <row r="21" spans="1:9" x14ac:dyDescent="0.25">
      <c r="A21" s="3" t="s">
        <v>22</v>
      </c>
      <c r="B21" s="3">
        <v>125</v>
      </c>
      <c r="C21" s="3">
        <v>7</v>
      </c>
      <c r="D21" s="4">
        <f t="shared" si="0"/>
        <v>5.6000000000000001E-2</v>
      </c>
      <c r="E21" s="4">
        <f t="shared" si="1"/>
        <v>1.4854268271702415</v>
      </c>
      <c r="F21" s="4">
        <f t="shared" si="2"/>
        <v>2.7387876776358035E-2</v>
      </c>
      <c r="G21" s="4">
        <f t="shared" si="3"/>
        <v>0.11108913685898955</v>
      </c>
      <c r="H21" s="4">
        <f t="shared" si="4"/>
        <v>0.45353742657813612</v>
      </c>
      <c r="I21" s="3">
        <f t="shared" si="5"/>
        <v>2.4736458408140725</v>
      </c>
    </row>
    <row r="22" spans="1:9" x14ac:dyDescent="0.25">
      <c r="A22" s="3" t="s">
        <v>23</v>
      </c>
      <c r="B22" s="3">
        <v>112</v>
      </c>
      <c r="C22" s="3">
        <v>9</v>
      </c>
      <c r="D22" s="4">
        <f t="shared" si="0"/>
        <v>8.0357142857142863E-2</v>
      </c>
      <c r="E22" s="4">
        <f t="shared" si="1"/>
        <v>2.0064262691594332</v>
      </c>
      <c r="F22" s="4">
        <f t="shared" si="2"/>
        <v>4.2850091817489402E-2</v>
      </c>
      <c r="G22" s="4">
        <f t="shared" si="3"/>
        <v>0.14569702769743445</v>
      </c>
      <c r="H22" s="4">
        <f t="shared" si="4"/>
        <v>1.0992982956912105</v>
      </c>
      <c r="I22" s="3">
        <f t="shared" si="5"/>
        <v>2.8648995407873095</v>
      </c>
    </row>
    <row r="23" spans="1:9" x14ac:dyDescent="0.25">
      <c r="A23" s="3" t="s">
        <v>24</v>
      </c>
      <c r="B23" s="3">
        <v>339</v>
      </c>
      <c r="C23" s="3">
        <v>18</v>
      </c>
      <c r="D23" s="4">
        <f t="shared" si="0"/>
        <v>5.3097345132743362E-2</v>
      </c>
      <c r="E23" s="4">
        <f t="shared" si="1"/>
        <v>1.4086397280806933</v>
      </c>
      <c r="F23" s="4">
        <f t="shared" si="2"/>
        <v>3.384697404975115E-2</v>
      </c>
      <c r="G23" s="4">
        <f t="shared" si="3"/>
        <v>8.2362960800628743E-2</v>
      </c>
      <c r="H23" s="4">
        <f t="shared" si="4"/>
        <v>0.75902686131716834</v>
      </c>
      <c r="I23" s="3">
        <f t="shared" si="5"/>
        <v>2.0419956931999663</v>
      </c>
    </row>
    <row r="24" spans="1:9" x14ac:dyDescent="0.25">
      <c r="A24" s="3" t="s">
        <v>25</v>
      </c>
      <c r="B24" s="3">
        <v>103</v>
      </c>
      <c r="C24" s="3">
        <v>7</v>
      </c>
      <c r="D24" s="4">
        <f t="shared" si="0"/>
        <v>6.7961165048543687E-2</v>
      </c>
      <c r="E24" s="4">
        <f t="shared" si="1"/>
        <v>1.7647105846491105</v>
      </c>
      <c r="F24" s="4">
        <f t="shared" si="2"/>
        <v>3.330731523877016E-2</v>
      </c>
      <c r="G24" s="4">
        <f t="shared" si="3"/>
        <v>0.13368381930058529</v>
      </c>
      <c r="H24" s="4">
        <f t="shared" si="4"/>
        <v>0.73583906917849451</v>
      </c>
      <c r="I24" s="3">
        <f t="shared" si="5"/>
        <v>2.7407529512873618</v>
      </c>
    </row>
    <row r="25" spans="1:9" x14ac:dyDescent="0.25">
      <c r="A25" s="3" t="s">
        <v>26</v>
      </c>
      <c r="B25" s="3">
        <v>108</v>
      </c>
      <c r="C25" s="3">
        <v>5</v>
      </c>
      <c r="D25" s="4">
        <f t="shared" si="0"/>
        <v>4.6296296296296294E-2</v>
      </c>
      <c r="E25" s="4">
        <f t="shared" si="1"/>
        <v>1.2108967824986183</v>
      </c>
      <c r="F25" s="4">
        <f t="shared" si="2"/>
        <v>1.9934521435234432E-2</v>
      </c>
      <c r="G25" s="4">
        <f t="shared" si="3"/>
        <v>0.10382622590743588</v>
      </c>
      <c r="H25" s="4">
        <f t="shared" si="4"/>
        <v>-4.7310287907357806E-3</v>
      </c>
      <c r="I25" s="3">
        <f t="shared" si="5"/>
        <v>2.3760990010843304</v>
      </c>
    </row>
    <row r="26" spans="1:9" x14ac:dyDescent="0.25">
      <c r="A26" s="3" t="s">
        <v>27</v>
      </c>
      <c r="B26" s="3">
        <v>154</v>
      </c>
      <c r="C26" s="3">
        <v>11</v>
      </c>
      <c r="D26" s="4">
        <f t="shared" si="0"/>
        <v>7.1428571428571425E-2</v>
      </c>
      <c r="E26" s="4">
        <f t="shared" si="1"/>
        <v>1.8365012677171204</v>
      </c>
      <c r="F26" s="4">
        <f t="shared" si="2"/>
        <v>4.0349327383673445E-2</v>
      </c>
      <c r="G26" s="4">
        <f t="shared" si="3"/>
        <v>0.12336923603686968</v>
      </c>
      <c r="H26" s="4">
        <f t="shared" si="4"/>
        <v>1.0125446242260612</v>
      </c>
      <c r="I26" s="3">
        <f t="shared" si="5"/>
        <v>2.6249107766488371</v>
      </c>
    </row>
    <row r="27" spans="1:9" x14ac:dyDescent="0.25">
      <c r="A27" s="3" t="s">
        <v>28</v>
      </c>
      <c r="B27" s="3">
        <v>206</v>
      </c>
      <c r="C27" s="3">
        <v>12</v>
      </c>
      <c r="D27" s="4">
        <f t="shared" si="0"/>
        <v>5.8252427184466021E-2</v>
      </c>
      <c r="E27" s="4">
        <f t="shared" si="1"/>
        <v>1.5423181633126626</v>
      </c>
      <c r="F27" s="4">
        <f t="shared" si="2"/>
        <v>3.3633068437506131E-2</v>
      </c>
      <c r="G27" s="4">
        <f t="shared" si="3"/>
        <v>9.9046057150556491E-2</v>
      </c>
      <c r="H27" s="4">
        <f t="shared" si="4"/>
        <v>0.74988040591271943</v>
      </c>
      <c r="I27" s="3">
        <f t="shared" si="5"/>
        <v>2.308099545104072</v>
      </c>
    </row>
    <row r="28" spans="1:9" x14ac:dyDescent="0.25">
      <c r="A28" s="3" t="s">
        <v>29</v>
      </c>
      <c r="B28" s="3">
        <v>184</v>
      </c>
      <c r="C28" s="3">
        <v>9</v>
      </c>
      <c r="D28" s="4">
        <f t="shared" si="0"/>
        <v>4.8913043478260872E-2</v>
      </c>
      <c r="E28" s="4">
        <f t="shared" si="1"/>
        <v>1.2902192351600241</v>
      </c>
      <c r="F28" s="4">
        <f t="shared" si="2"/>
        <v>2.5943457364524077E-2</v>
      </c>
      <c r="G28" s="4">
        <f t="shared" si="3"/>
        <v>9.0333235338263804E-2</v>
      </c>
      <c r="H28" s="4">
        <f t="shared" si="4"/>
        <v>0.37537075369446893</v>
      </c>
      <c r="I28" s="3">
        <f t="shared" si="5"/>
        <v>2.175256880685454</v>
      </c>
    </row>
    <row r="29" spans="1:9" x14ac:dyDescent="0.25">
      <c r="A29" s="3" t="s">
        <v>30</v>
      </c>
      <c r="B29" s="3">
        <v>65</v>
      </c>
      <c r="C29" s="3">
        <v>3</v>
      </c>
      <c r="D29" s="4">
        <f t="shared" si="0"/>
        <v>4.6153846153846156E-2</v>
      </c>
      <c r="E29" s="4">
        <f t="shared" si="1"/>
        <v>1.2064508774674265</v>
      </c>
      <c r="F29" s="4">
        <f t="shared" si="2"/>
        <v>1.5819553585903267E-2</v>
      </c>
      <c r="G29" s="4">
        <f t="shared" si="3"/>
        <v>0.12714051706904955</v>
      </c>
      <c r="H29" s="4">
        <f t="shared" si="4"/>
        <v>-0.33829111121904049</v>
      </c>
      <c r="I29" s="3">
        <f t="shared" si="5"/>
        <v>2.6683519557541637</v>
      </c>
    </row>
    <row r="30" spans="1:9" x14ac:dyDescent="0.25">
      <c r="A30" s="3" t="s">
        <v>31</v>
      </c>
      <c r="B30" s="3">
        <v>104</v>
      </c>
      <c r="C30" s="3">
        <v>4</v>
      </c>
      <c r="D30" s="4">
        <f t="shared" si="0"/>
        <v>3.8461538461538464E-2</v>
      </c>
      <c r="E30" s="4">
        <f t="shared" si="1"/>
        <v>0.94341647163363263</v>
      </c>
      <c r="F30" s="4">
        <f t="shared" si="2"/>
        <v>1.5056569723581407E-2</v>
      </c>
      <c r="G30" s="4">
        <f t="shared" si="3"/>
        <v>9.4748922776529854E-2</v>
      </c>
      <c r="H30" s="4">
        <f t="shared" si="4"/>
        <v>-0.40960687583826205</v>
      </c>
      <c r="I30" s="3">
        <f t="shared" si="5"/>
        <v>2.2441095410273415</v>
      </c>
    </row>
    <row r="31" spans="1:9" x14ac:dyDescent="0.25">
      <c r="A31" s="3" t="s">
        <v>32</v>
      </c>
      <c r="B31" s="3">
        <v>127</v>
      </c>
      <c r="C31" s="3">
        <v>8</v>
      </c>
      <c r="D31" s="4">
        <f t="shared" si="0"/>
        <v>6.2992125984251968E-2</v>
      </c>
      <c r="E31" s="4">
        <f t="shared" si="1"/>
        <v>1.6551715030025589</v>
      </c>
      <c r="F31" s="4">
        <f t="shared" si="2"/>
        <v>3.2261301754602054E-2</v>
      </c>
      <c r="G31" s="4">
        <f t="shared" si="3"/>
        <v>0.11938465794017394</v>
      </c>
      <c r="H31" s="4">
        <f t="shared" si="4"/>
        <v>0.68980465290826898</v>
      </c>
      <c r="I31" s="3">
        <f t="shared" si="5"/>
        <v>2.577545543418255</v>
      </c>
    </row>
    <row r="32" spans="1:9" x14ac:dyDescent="0.25">
      <c r="A32" s="3" t="s">
        <v>33</v>
      </c>
      <c r="B32" s="3">
        <v>113</v>
      </c>
      <c r="C32" s="3">
        <v>4</v>
      </c>
      <c r="D32" s="4">
        <f t="shared" si="0"/>
        <v>3.5398230088495575E-2</v>
      </c>
      <c r="E32" s="4">
        <f t="shared" si="1"/>
        <v>0.82367722735953697</v>
      </c>
      <c r="F32" s="4">
        <f t="shared" si="2"/>
        <v>1.3849954465336095E-2</v>
      </c>
      <c r="G32" s="4">
        <f t="shared" si="3"/>
        <v>8.7497510821000282E-2</v>
      </c>
      <c r="H32" s="4">
        <f t="shared" si="4"/>
        <v>-0.53011876688378845</v>
      </c>
      <c r="I32" s="3">
        <f t="shared" si="5"/>
        <v>2.1292419749189153</v>
      </c>
    </row>
    <row r="33" spans="1:9" x14ac:dyDescent="0.25">
      <c r="A33" s="3" t="s">
        <v>34</v>
      </c>
      <c r="B33" s="3">
        <v>50</v>
      </c>
      <c r="C33" s="3">
        <v>11</v>
      </c>
      <c r="D33" s="4">
        <f t="shared" si="0"/>
        <v>0.22</v>
      </c>
      <c r="E33" s="4">
        <f t="shared" si="1"/>
        <v>3.4594316186372978</v>
      </c>
      <c r="F33" s="4">
        <f t="shared" si="2"/>
        <v>0.12753786224302291</v>
      </c>
      <c r="G33" s="4">
        <f t="shared" si="3"/>
        <v>0.35241815689459555</v>
      </c>
      <c r="H33" s="4">
        <f t="shared" si="4"/>
        <v>2.6728536993155148</v>
      </c>
      <c r="I33" s="3">
        <f t="shared" si="5"/>
        <v>4.1392163499827728</v>
      </c>
    </row>
    <row r="34" spans="1:9" x14ac:dyDescent="0.25">
      <c r="A34" s="3" t="s">
        <v>35</v>
      </c>
      <c r="B34" s="3">
        <v>57</v>
      </c>
      <c r="C34" s="3">
        <v>11</v>
      </c>
      <c r="D34" s="4">
        <f t="shared" si="0"/>
        <v>0.19298245614035087</v>
      </c>
      <c r="E34" s="4">
        <f t="shared" si="1"/>
        <v>3.2703977942472804</v>
      </c>
      <c r="F34" s="4">
        <f t="shared" si="2"/>
        <v>0.1113263337776048</v>
      </c>
      <c r="G34" s="4">
        <f t="shared" si="3"/>
        <v>0.31340937337013614</v>
      </c>
      <c r="H34" s="4">
        <f t="shared" si="4"/>
        <v>2.4767229914003517</v>
      </c>
      <c r="I34" s="3">
        <f t="shared" si="5"/>
        <v>3.9699764231100758</v>
      </c>
    </row>
    <row r="35" spans="1:9" x14ac:dyDescent="0.25">
      <c r="A35" s="3" t="s">
        <v>36</v>
      </c>
      <c r="B35" s="3">
        <v>74</v>
      </c>
      <c r="C35" s="3">
        <v>9</v>
      </c>
      <c r="D35" s="4">
        <f t="shared" si="0"/>
        <v>0.12162162162162163</v>
      </c>
      <c r="E35" s="4">
        <f t="shared" si="1"/>
        <v>2.6043278255880873</v>
      </c>
      <c r="F35" s="4">
        <f t="shared" si="2"/>
        <v>6.5322418067745899E-2</v>
      </c>
      <c r="G35" s="4">
        <f t="shared" si="3"/>
        <v>0.2152679089553369</v>
      </c>
      <c r="H35" s="4">
        <f t="shared" si="4"/>
        <v>1.707578196744318</v>
      </c>
      <c r="I35" s="3">
        <f t="shared" si="5"/>
        <v>3.428061360784866</v>
      </c>
    </row>
    <row r="36" spans="1:9" x14ac:dyDescent="0.25">
      <c r="A36" s="3" t="s">
        <v>37</v>
      </c>
      <c r="B36" s="3">
        <v>90</v>
      </c>
      <c r="C36" s="3">
        <v>24</v>
      </c>
      <c r="D36" s="4">
        <f t="shared" si="0"/>
        <v>0.26666666666666666</v>
      </c>
      <c r="E36" s="4">
        <f t="shared" si="1"/>
        <v>3.7369655941662066</v>
      </c>
      <c r="F36" s="4">
        <f t="shared" si="2"/>
        <v>0.18623692042961368</v>
      </c>
      <c r="G36" s="4">
        <f t="shared" si="3"/>
        <v>0.3662003781671706</v>
      </c>
      <c r="H36" s="4">
        <f t="shared" si="4"/>
        <v>3.2190672023738953</v>
      </c>
      <c r="I36" s="3">
        <f t="shared" si="5"/>
        <v>4.1945613758631914</v>
      </c>
    </row>
    <row r="37" spans="1:9" x14ac:dyDescent="0.25">
      <c r="A37" s="3" t="s">
        <v>38</v>
      </c>
      <c r="B37" s="3">
        <v>11</v>
      </c>
      <c r="C37" s="3">
        <v>0</v>
      </c>
      <c r="D37" s="4" t="str">
        <f t="shared" si="0"/>
        <v>NaN</v>
      </c>
      <c r="E37" s="4" t="str">
        <f t="shared" si="1"/>
        <v>NaN</v>
      </c>
      <c r="F37" s="4" t="str">
        <f t="shared" si="2"/>
        <v>NaN</v>
      </c>
      <c r="G37" s="4" t="str">
        <f t="shared" si="3"/>
        <v>NaN</v>
      </c>
      <c r="H37" s="4" t="str">
        <f t="shared" si="4"/>
        <v>NaN</v>
      </c>
      <c r="I37" s="3" t="str">
        <f t="shared" si="5"/>
        <v>NaN</v>
      </c>
    </row>
    <row r="38" spans="1:9" x14ac:dyDescent="0.25">
      <c r="A38" s="3" t="s">
        <v>39</v>
      </c>
      <c r="B38" s="3">
        <v>50</v>
      </c>
      <c r="C38" s="3">
        <v>2</v>
      </c>
      <c r="D38" s="4">
        <f t="shared" si="0"/>
        <v>0.04</v>
      </c>
      <c r="E38" s="4">
        <f t="shared" si="1"/>
        <v>1</v>
      </c>
      <c r="F38" s="4">
        <f t="shared" si="2"/>
        <v>1.1038652660826579E-2</v>
      </c>
      <c r="G38" s="4">
        <f t="shared" si="3"/>
        <v>0.13460337877954667</v>
      </c>
      <c r="H38" s="4">
        <f t="shared" si="4"/>
        <v>-0.85743590742791609</v>
      </c>
      <c r="I38" s="3">
        <f t="shared" si="5"/>
        <v>2.7506427194516094</v>
      </c>
    </row>
    <row r="39" spans="1:9" x14ac:dyDescent="0.25">
      <c r="A39" s="3" t="s">
        <v>40</v>
      </c>
      <c r="B39" s="3">
        <v>125</v>
      </c>
      <c r="C39" s="3">
        <v>4</v>
      </c>
      <c r="D39" s="4">
        <f t="shared" si="0"/>
        <v>3.2000000000000001E-2</v>
      </c>
      <c r="E39" s="4">
        <f t="shared" si="1"/>
        <v>0.67807190511263782</v>
      </c>
      <c r="F39" s="4">
        <f t="shared" si="2"/>
        <v>1.2512936695839404E-2</v>
      </c>
      <c r="G39" s="4">
        <f t="shared" si="3"/>
        <v>7.9395266865743205E-2</v>
      </c>
      <c r="H39" s="4">
        <f t="shared" si="4"/>
        <v>-0.67657958065476975</v>
      </c>
      <c r="I39" s="3">
        <f t="shared" si="5"/>
        <v>1.9890530039317713</v>
      </c>
    </row>
    <row r="40" spans="1:9" x14ac:dyDescent="0.25">
      <c r="A40" s="3" t="s">
        <v>41</v>
      </c>
      <c r="B40" s="3">
        <v>145</v>
      </c>
      <c r="C40" s="3">
        <v>8</v>
      </c>
      <c r="D40" s="4">
        <f t="shared" si="0"/>
        <v>5.5172413793103448E-2</v>
      </c>
      <c r="E40" s="4">
        <f t="shared" si="1"/>
        <v>1.4639470997597901</v>
      </c>
      <c r="F40" s="4">
        <f t="shared" si="2"/>
        <v>2.8218435934205737E-2</v>
      </c>
      <c r="G40" s="4">
        <f t="shared" si="3"/>
        <v>0.1050883815146795</v>
      </c>
      <c r="H40" s="4">
        <f t="shared" si="4"/>
        <v>0.49663802576300714</v>
      </c>
      <c r="I40" s="3">
        <f t="shared" si="5"/>
        <v>2.3935312698229145</v>
      </c>
    </row>
    <row r="41" spans="1:9" x14ac:dyDescent="0.25">
      <c r="A41" s="3" t="s">
        <v>42</v>
      </c>
      <c r="B41" s="3">
        <v>95</v>
      </c>
      <c r="C41" s="3">
        <v>1</v>
      </c>
      <c r="D41" s="4">
        <f t="shared" si="0"/>
        <v>1.0526315789473684E-2</v>
      </c>
      <c r="E41" s="4">
        <f t="shared" si="1"/>
        <v>-0.92599941855622325</v>
      </c>
      <c r="F41" s="4">
        <f t="shared" si="2"/>
        <v>1.8605283639709968E-3</v>
      </c>
      <c r="G41" s="4">
        <f t="shared" si="3"/>
        <v>5.7240093236650601E-2</v>
      </c>
      <c r="H41" s="4">
        <f t="shared" si="4"/>
        <v>-3.4262157102025665</v>
      </c>
      <c r="I41" s="3">
        <f t="shared" si="5"/>
        <v>1.51702602202866</v>
      </c>
    </row>
    <row r="42" spans="1:9" x14ac:dyDescent="0.25">
      <c r="A42" s="3" t="s">
        <v>43</v>
      </c>
      <c r="B42" s="3">
        <v>117</v>
      </c>
      <c r="C42" s="3">
        <v>5</v>
      </c>
      <c r="D42" s="4">
        <f t="shared" si="0"/>
        <v>4.2735042735042736E-2</v>
      </c>
      <c r="E42" s="4">
        <f t="shared" si="1"/>
        <v>1.0954195650786824</v>
      </c>
      <c r="F42" s="4">
        <f t="shared" si="2"/>
        <v>1.8389559879770759E-2</v>
      </c>
      <c r="G42" s="4">
        <f t="shared" si="3"/>
        <v>9.6153776189927084E-2</v>
      </c>
      <c r="H42" s="4">
        <f t="shared" si="4"/>
        <v>-0.12111304808431747</v>
      </c>
      <c r="I42" s="3">
        <f t="shared" si="5"/>
        <v>2.2653435167799825</v>
      </c>
    </row>
    <row r="43" spans="1:9" x14ac:dyDescent="0.25">
      <c r="A43" s="3" t="s">
        <v>44</v>
      </c>
      <c r="B43" s="3">
        <v>518</v>
      </c>
      <c r="C43" s="3">
        <v>38</v>
      </c>
      <c r="D43" s="4">
        <f t="shared" si="0"/>
        <v>7.3359073359073365E-2</v>
      </c>
      <c r="E43" s="4">
        <f t="shared" si="1"/>
        <v>1.8749754155317564</v>
      </c>
      <c r="F43" s="4">
        <f t="shared" si="2"/>
        <v>5.391026143868502E-2</v>
      </c>
      <c r="G43" s="4">
        <f t="shared" si="3"/>
        <v>9.908942275667236E-2</v>
      </c>
      <c r="H43" s="4">
        <f t="shared" si="4"/>
        <v>1.4305599059589167</v>
      </c>
      <c r="I43" s="3">
        <f t="shared" si="5"/>
        <v>2.3087310659797557</v>
      </c>
    </row>
    <row r="44" spans="1:9" x14ac:dyDescent="0.25">
      <c r="A44" s="3" t="s">
        <v>45</v>
      </c>
      <c r="B44" s="3">
        <v>137</v>
      </c>
      <c r="C44" s="3">
        <v>8</v>
      </c>
      <c r="D44" s="4">
        <f t="shared" si="0"/>
        <v>5.8394160583941604E-2</v>
      </c>
      <c r="E44" s="4">
        <f t="shared" si="1"/>
        <v>1.545824106814198</v>
      </c>
      <c r="F44" s="4">
        <f t="shared" si="2"/>
        <v>2.988277344548575E-2</v>
      </c>
      <c r="G44" s="4">
        <f t="shared" si="3"/>
        <v>0.11099605780891636</v>
      </c>
      <c r="H44" s="4">
        <f t="shared" si="4"/>
        <v>0.5793140520884511</v>
      </c>
      <c r="I44" s="3">
        <f t="shared" si="5"/>
        <v>2.4724365328994704</v>
      </c>
    </row>
    <row r="45" spans="1:9" x14ac:dyDescent="0.25">
      <c r="A45" s="3" t="s">
        <v>46</v>
      </c>
      <c r="B45" s="3">
        <v>329</v>
      </c>
      <c r="C45" s="3">
        <v>20</v>
      </c>
      <c r="D45" s="4">
        <f t="shared" si="0"/>
        <v>6.0790273556231005E-2</v>
      </c>
      <c r="E45" s="4">
        <f t="shared" si="1"/>
        <v>1.6038405109268457</v>
      </c>
      <c r="F45" s="4">
        <f t="shared" si="2"/>
        <v>3.9693240124174571E-2</v>
      </c>
      <c r="G45" s="4">
        <f t="shared" si="3"/>
        <v>9.2025871909898083E-2</v>
      </c>
      <c r="H45" s="4">
        <f t="shared" si="4"/>
        <v>0.98889333306803606</v>
      </c>
      <c r="I45" s="3">
        <f t="shared" si="5"/>
        <v>2.2020395136571711</v>
      </c>
    </row>
    <row r="46" spans="1:9" x14ac:dyDescent="0.25">
      <c r="A46" s="3" t="s">
        <v>47</v>
      </c>
      <c r="B46" s="3">
        <v>417</v>
      </c>
      <c r="C46" s="3">
        <v>37</v>
      </c>
      <c r="D46" s="4">
        <f t="shared" si="0"/>
        <v>8.8729016786570747E-2</v>
      </c>
      <c r="E46" s="4">
        <f t="shared" si="1"/>
        <v>2.1494059819590108</v>
      </c>
      <c r="F46" s="4">
        <f t="shared" si="2"/>
        <v>6.505735580704726E-2</v>
      </c>
      <c r="G46" s="4">
        <f t="shared" si="3"/>
        <v>0.11990914940536519</v>
      </c>
      <c r="H46" s="4">
        <f t="shared" si="4"/>
        <v>1.7017121866338449</v>
      </c>
      <c r="I46" s="3">
        <f t="shared" si="5"/>
        <v>2.583869839528937</v>
      </c>
    </row>
    <row r="47" spans="1:9" x14ac:dyDescent="0.25">
      <c r="A47" s="3" t="s">
        <v>48</v>
      </c>
      <c r="B47" s="3">
        <v>147</v>
      </c>
      <c r="C47" s="3">
        <v>8</v>
      </c>
      <c r="D47" s="4">
        <f t="shared" si="0"/>
        <v>5.4421768707482991E-2</v>
      </c>
      <c r="E47" s="4">
        <f t="shared" si="1"/>
        <v>1.4441838449383604</v>
      </c>
      <c r="F47" s="4">
        <f t="shared" si="2"/>
        <v>2.7830924664003935E-2</v>
      </c>
      <c r="G47" s="4">
        <f t="shared" si="3"/>
        <v>0.10370838544673473</v>
      </c>
      <c r="H47" s="4">
        <f t="shared" si="4"/>
        <v>0.476688842051193</v>
      </c>
      <c r="I47" s="3">
        <f t="shared" si="5"/>
        <v>2.3744606443260912</v>
      </c>
    </row>
    <row r="48" spans="1:9" x14ac:dyDescent="0.25">
      <c r="A48" s="3" t="s">
        <v>49</v>
      </c>
      <c r="B48" s="3">
        <v>31</v>
      </c>
      <c r="C48" s="3">
        <v>1</v>
      </c>
      <c r="D48" s="4">
        <f t="shared" si="0"/>
        <v>3.2258064516129031E-2</v>
      </c>
      <c r="E48" s="4">
        <f t="shared" si="1"/>
        <v>0.68965987938784945</v>
      </c>
      <c r="F48" s="4">
        <f t="shared" si="2"/>
        <v>5.7170740869444403E-3</v>
      </c>
      <c r="G48" s="4">
        <f t="shared" si="3"/>
        <v>0.16194457176169624</v>
      </c>
      <c r="H48" s="4">
        <f t="shared" si="4"/>
        <v>-1.8066511087656381</v>
      </c>
      <c r="I48" s="3">
        <f t="shared" si="5"/>
        <v>3.0174282059736632</v>
      </c>
    </row>
    <row r="49" spans="1:9" x14ac:dyDescent="0.25">
      <c r="A49" s="3" t="s">
        <v>50</v>
      </c>
      <c r="B49" s="3">
        <v>303</v>
      </c>
      <c r="C49" s="3">
        <v>24</v>
      </c>
      <c r="D49" s="4">
        <f t="shared" si="0"/>
        <v>7.9207920792079209E-2</v>
      </c>
      <c r="E49" s="4">
        <f t="shared" si="1"/>
        <v>1.9856447070229299</v>
      </c>
      <c r="F49" s="4">
        <f t="shared" si="2"/>
        <v>5.3802476520405249E-2</v>
      </c>
      <c r="G49" s="4">
        <f t="shared" si="3"/>
        <v>0.11514984285219611</v>
      </c>
      <c r="H49" s="4">
        <f t="shared" si="4"/>
        <v>1.4276725813595359</v>
      </c>
      <c r="I49" s="3">
        <f t="shared" si="5"/>
        <v>2.525440537138294</v>
      </c>
    </row>
    <row r="50" spans="1:9" x14ac:dyDescent="0.25">
      <c r="A50" s="3" t="s">
        <v>51</v>
      </c>
      <c r="B50" s="3">
        <v>450</v>
      </c>
      <c r="C50" s="3">
        <v>29</v>
      </c>
      <c r="D50" s="4">
        <f t="shared" si="0"/>
        <v>6.4444444444444443E-2</v>
      </c>
      <c r="E50" s="4">
        <f t="shared" si="1"/>
        <v>1.6880559936852597</v>
      </c>
      <c r="F50" s="4">
        <f t="shared" si="2"/>
        <v>4.5241601014009689E-2</v>
      </c>
      <c r="G50" s="4">
        <f t="shared" si="3"/>
        <v>9.1020918772629536E-2</v>
      </c>
      <c r="H50" s="4">
        <f t="shared" si="4"/>
        <v>1.1776499844582025</v>
      </c>
      <c r="I50" s="3">
        <f t="shared" si="5"/>
        <v>2.1861981490618314</v>
      </c>
    </row>
    <row r="51" spans="1:9" x14ac:dyDescent="0.25">
      <c r="A51" s="3" t="s">
        <v>52</v>
      </c>
      <c r="B51" s="3">
        <v>1166</v>
      </c>
      <c r="C51" s="3">
        <v>152</v>
      </c>
      <c r="D51" s="4">
        <f t="shared" si="0"/>
        <v>0.13036020583190394</v>
      </c>
      <c r="E51" s="4">
        <f t="shared" si="1"/>
        <v>2.7044316300178139</v>
      </c>
      <c r="F51" s="4">
        <f t="shared" si="2"/>
        <v>0.11224135296846521</v>
      </c>
      <c r="G51" s="4">
        <f t="shared" si="3"/>
        <v>0.15090675186897601</v>
      </c>
      <c r="H51" s="4">
        <f t="shared" si="4"/>
        <v>2.4885323994525632</v>
      </c>
      <c r="I51" s="3">
        <f t="shared" si="5"/>
        <v>2.91558545124879</v>
      </c>
    </row>
    <row r="52" spans="1:9" x14ac:dyDescent="0.25">
      <c r="A52" s="3" t="s">
        <v>53</v>
      </c>
      <c r="B52" s="3">
        <v>142</v>
      </c>
      <c r="C52" s="3">
        <v>34</v>
      </c>
      <c r="D52" s="4">
        <f t="shared" si="0"/>
        <v>0.23943661971830985</v>
      </c>
      <c r="E52" s="4">
        <f t="shared" si="1"/>
        <v>3.5815719115203821</v>
      </c>
      <c r="F52" s="4">
        <f t="shared" si="2"/>
        <v>0.17670150656167399</v>
      </c>
      <c r="G52" s="4">
        <f t="shared" si="3"/>
        <v>0.31589868433036222</v>
      </c>
      <c r="H52" s="4">
        <f t="shared" si="4"/>
        <v>3.1432424352850421</v>
      </c>
      <c r="I52" s="3">
        <f t="shared" si="5"/>
        <v>3.9813900233807762</v>
      </c>
    </row>
    <row r="53" spans="1:9" x14ac:dyDescent="0.25">
      <c r="A53" s="3" t="s">
        <v>54</v>
      </c>
      <c r="B53" s="3">
        <v>1359</v>
      </c>
      <c r="C53" s="3">
        <v>90</v>
      </c>
      <c r="D53" s="4">
        <f t="shared" si="0"/>
        <v>6.6225165562913912E-2</v>
      </c>
      <c r="E53" s="4">
        <f t="shared" si="1"/>
        <v>1.7273795453370082</v>
      </c>
      <c r="F53" s="4">
        <f t="shared" si="2"/>
        <v>5.4188600130200507E-2</v>
      </c>
      <c r="G53" s="4">
        <f t="shared" si="3"/>
        <v>8.0707194069213437E-2</v>
      </c>
      <c r="H53" s="4">
        <f t="shared" si="4"/>
        <v>1.437989378046554</v>
      </c>
      <c r="I53" s="3">
        <f t="shared" si="5"/>
        <v>2.0126972780308123</v>
      </c>
    </row>
    <row r="54" spans="1:9" x14ac:dyDescent="0.25">
      <c r="A54" s="3" t="s">
        <v>55</v>
      </c>
      <c r="B54" s="3">
        <v>143</v>
      </c>
      <c r="C54" s="3">
        <v>16</v>
      </c>
      <c r="D54" s="4">
        <f t="shared" si="0"/>
        <v>0.11188811188811189</v>
      </c>
      <c r="E54" s="4">
        <f t="shared" si="1"/>
        <v>2.4839848529963353</v>
      </c>
      <c r="F54" s="4">
        <f t="shared" si="2"/>
        <v>7.0053786120309408E-2</v>
      </c>
      <c r="G54" s="4">
        <f t="shared" si="3"/>
        <v>0.17402963438178268</v>
      </c>
      <c r="H54" s="4">
        <f t="shared" si="4"/>
        <v>1.8084630245231412</v>
      </c>
      <c r="I54" s="3">
        <f t="shared" si="5"/>
        <v>3.1212610890954644</v>
      </c>
    </row>
    <row r="55" spans="1:9" x14ac:dyDescent="0.25">
      <c r="A55" s="3" t="s">
        <v>56</v>
      </c>
      <c r="B55" s="3">
        <v>103</v>
      </c>
      <c r="C55" s="3">
        <v>8</v>
      </c>
      <c r="D55" s="4">
        <f t="shared" si="0"/>
        <v>7.7669902912621352E-2</v>
      </c>
      <c r="E55" s="4">
        <f t="shared" si="1"/>
        <v>1.9573556625915061</v>
      </c>
      <c r="F55" s="4">
        <f t="shared" si="2"/>
        <v>3.9879879368479622E-2</v>
      </c>
      <c r="G55" s="4">
        <f t="shared" si="3"/>
        <v>0.14583055551830607</v>
      </c>
      <c r="H55" s="4">
        <f t="shared" si="4"/>
        <v>0.99566104577524028</v>
      </c>
      <c r="I55" s="3">
        <f t="shared" si="5"/>
        <v>2.8662211305754077</v>
      </c>
    </row>
    <row r="56" spans="1:9" x14ac:dyDescent="0.25">
      <c r="A56" s="3" t="s">
        <v>57</v>
      </c>
      <c r="B56" s="3">
        <v>53</v>
      </c>
      <c r="C56" s="3">
        <v>3</v>
      </c>
      <c r="D56" s="4">
        <f t="shared" si="0"/>
        <v>5.6603773584905662E-2</v>
      </c>
      <c r="E56" s="4">
        <f t="shared" si="1"/>
        <v>1.5008982359326815</v>
      </c>
      <c r="F56" s="4">
        <f t="shared" si="2"/>
        <v>1.943630892731418E-2</v>
      </c>
      <c r="G56" s="4">
        <f t="shared" si="3"/>
        <v>0.15370448936126319</v>
      </c>
      <c r="H56" s="4">
        <f t="shared" si="4"/>
        <v>-4.1245731563559901E-2</v>
      </c>
      <c r="I56" s="3">
        <f t="shared" si="5"/>
        <v>2.9420873983977915</v>
      </c>
    </row>
    <row r="57" spans="1:9" x14ac:dyDescent="0.25">
      <c r="A57" s="3" t="s">
        <v>58</v>
      </c>
      <c r="B57" s="3">
        <v>131</v>
      </c>
      <c r="C57" s="3">
        <v>10</v>
      </c>
      <c r="D57" s="4">
        <f t="shared" si="0"/>
        <v>7.6335877862595422E-2</v>
      </c>
      <c r="E57" s="4">
        <f t="shared" si="1"/>
        <v>1.9323612831246368</v>
      </c>
      <c r="F57" s="4">
        <f t="shared" si="2"/>
        <v>4.1989786186872768E-2</v>
      </c>
      <c r="G57" s="4">
        <f t="shared" si="3"/>
        <v>0.13482211755796561</v>
      </c>
      <c r="H57" s="4">
        <f t="shared" si="4"/>
        <v>1.0700384419494555</v>
      </c>
      <c r="I57" s="3">
        <f t="shared" si="5"/>
        <v>2.7529852848323921</v>
      </c>
    </row>
    <row r="58" spans="1:9" x14ac:dyDescent="0.25">
      <c r="A58" s="3" t="s">
        <v>59</v>
      </c>
      <c r="B58" s="3">
        <v>15</v>
      </c>
      <c r="C58" s="3">
        <v>3</v>
      </c>
      <c r="D58" s="4">
        <f t="shared" si="0"/>
        <v>0.2</v>
      </c>
      <c r="E58" s="4">
        <f t="shared" si="1"/>
        <v>3.3219280948873626</v>
      </c>
      <c r="F58" s="4">
        <f t="shared" si="2"/>
        <v>7.0474206436104123E-2</v>
      </c>
      <c r="G58" s="4">
        <f t="shared" si="3"/>
        <v>0.45185935334650451</v>
      </c>
      <c r="H58" s="4">
        <f t="shared" si="4"/>
        <v>1.8170953276429052</v>
      </c>
      <c r="I58" s="3">
        <f t="shared" si="5"/>
        <v>4.4978018812327738</v>
      </c>
    </row>
    <row r="59" spans="1:9" x14ac:dyDescent="0.25">
      <c r="A59" s="3" t="s">
        <v>60</v>
      </c>
      <c r="B59" s="3">
        <v>49</v>
      </c>
      <c r="C59" s="3">
        <v>4</v>
      </c>
      <c r="D59" s="4">
        <f t="shared" si="0"/>
        <v>8.1632653061224483E-2</v>
      </c>
      <c r="E59" s="4">
        <f t="shared" si="1"/>
        <v>2.029146345659516</v>
      </c>
      <c r="F59" s="4">
        <f t="shared" si="2"/>
        <v>3.2202296241712218E-2</v>
      </c>
      <c r="G59" s="4">
        <f t="shared" si="3"/>
        <v>0.19189387041486136</v>
      </c>
      <c r="H59" s="4">
        <f t="shared" si="4"/>
        <v>0.68716356593046346</v>
      </c>
      <c r="I59" s="3">
        <f t="shared" si="5"/>
        <v>3.2622367237561596</v>
      </c>
    </row>
    <row r="60" spans="1:9" x14ac:dyDescent="0.25">
      <c r="A60" s="3" t="s">
        <v>61</v>
      </c>
      <c r="B60" s="3">
        <v>290</v>
      </c>
      <c r="C60" s="3">
        <v>24</v>
      </c>
      <c r="D60" s="4">
        <f t="shared" si="0"/>
        <v>8.2758620689655171E-2</v>
      </c>
      <c r="E60" s="4">
        <f t="shared" si="1"/>
        <v>2.0489096004809468</v>
      </c>
      <c r="F60" s="4">
        <f t="shared" si="2"/>
        <v>5.6242020129610971E-2</v>
      </c>
      <c r="G60" s="4">
        <f t="shared" si="3"/>
        <v>0.12018500722117939</v>
      </c>
      <c r="H60" s="4">
        <f t="shared" si="4"/>
        <v>1.4916484147986073</v>
      </c>
      <c r="I60" s="3">
        <f t="shared" si="5"/>
        <v>2.5871850295658936</v>
      </c>
    </row>
    <row r="61" spans="1:9" x14ac:dyDescent="0.25">
      <c r="A61" s="3" t="s">
        <v>62</v>
      </c>
      <c r="B61" s="3">
        <v>16</v>
      </c>
      <c r="C61" s="3">
        <v>4</v>
      </c>
      <c r="D61" s="4">
        <f t="shared" si="0"/>
        <v>0.25</v>
      </c>
      <c r="E61" s="4">
        <f t="shared" si="1"/>
        <v>3.6438561897747253</v>
      </c>
      <c r="F61" s="4">
        <f t="shared" si="2"/>
        <v>0.10181901984237347</v>
      </c>
      <c r="G61" s="4">
        <f t="shared" si="3"/>
        <v>0.49498768929398651</v>
      </c>
      <c r="H61" s="4">
        <f t="shared" si="4"/>
        <v>2.3479351776096551</v>
      </c>
      <c r="I61" s="3">
        <f t="shared" si="5"/>
        <v>4.6293207396445126</v>
      </c>
    </row>
    <row r="62" spans="1:9" x14ac:dyDescent="0.25">
      <c r="A62" s="3" t="s">
        <v>63</v>
      </c>
      <c r="B62" s="3">
        <v>93</v>
      </c>
      <c r="C62" s="3">
        <v>19</v>
      </c>
      <c r="D62" s="4">
        <f t="shared" si="0"/>
        <v>0.20430107526881722</v>
      </c>
      <c r="E62" s="4">
        <f t="shared" si="1"/>
        <v>3.3526248921102786</v>
      </c>
      <c r="F62" s="4">
        <f t="shared" si="2"/>
        <v>0.13487537530564259</v>
      </c>
      <c r="G62" s="4">
        <f t="shared" si="3"/>
        <v>0.29718687893220558</v>
      </c>
      <c r="H62" s="4">
        <f t="shared" si="4"/>
        <v>2.7535550690646851</v>
      </c>
      <c r="I62" s="3">
        <f t="shared" si="5"/>
        <v>3.8932985158873117</v>
      </c>
    </row>
    <row r="63" spans="1:9" x14ac:dyDescent="0.25">
      <c r="A63" s="3" t="s">
        <v>64</v>
      </c>
      <c r="B63" s="3">
        <v>74</v>
      </c>
      <c r="C63" s="3">
        <v>7</v>
      </c>
      <c r="D63" s="4">
        <f t="shared" si="0"/>
        <v>9.45945945945946E-2</v>
      </c>
      <c r="E63" s="4">
        <f t="shared" si="1"/>
        <v>2.2417577462033793</v>
      </c>
      <c r="F63" s="4">
        <f t="shared" si="2"/>
        <v>4.6579345930590606E-2</v>
      </c>
      <c r="G63" s="4">
        <f t="shared" si="3"/>
        <v>0.1826245758798552</v>
      </c>
      <c r="H63" s="4">
        <f t="shared" si="4"/>
        <v>1.21969038129806</v>
      </c>
      <c r="I63" s="3">
        <f t="shared" si="5"/>
        <v>3.1908090174617065</v>
      </c>
    </row>
    <row r="64" spans="1:9" x14ac:dyDescent="0.25">
      <c r="A64" s="3" t="s">
        <v>65</v>
      </c>
      <c r="B64" s="3">
        <v>119</v>
      </c>
      <c r="C64" s="3">
        <v>28</v>
      </c>
      <c r="D64" s="4">
        <f t="shared" si="0"/>
        <v>0.23529411764705882</v>
      </c>
      <c r="E64" s="4">
        <f t="shared" si="1"/>
        <v>3.5563933485243853</v>
      </c>
      <c r="F64" s="4">
        <f t="shared" si="2"/>
        <v>0.16810390246860613</v>
      </c>
      <c r="G64" s="4">
        <f t="shared" si="3"/>
        <v>0.31904051766268487</v>
      </c>
      <c r="H64" s="4">
        <f t="shared" si="4"/>
        <v>3.0712813114706923</v>
      </c>
      <c r="I64" s="3">
        <f t="shared" si="5"/>
        <v>3.9956677505986415</v>
      </c>
    </row>
    <row r="65" spans="1:9" x14ac:dyDescent="0.25">
      <c r="A65" s="3" t="s">
        <v>66</v>
      </c>
      <c r="B65" s="3">
        <v>94</v>
      </c>
      <c r="C65" s="3">
        <v>11</v>
      </c>
      <c r="D65" s="4">
        <f t="shared" si="0"/>
        <v>0.11702127659574468</v>
      </c>
      <c r="E65" s="4">
        <f t="shared" si="1"/>
        <v>2.548698956734385</v>
      </c>
      <c r="F65" s="4">
        <f t="shared" si="2"/>
        <v>6.6612942849525208E-2</v>
      </c>
      <c r="G65" s="4">
        <f t="shared" si="3"/>
        <v>0.1975037518897268</v>
      </c>
      <c r="H65" s="4">
        <f t="shared" si="4"/>
        <v>1.7358025191985229</v>
      </c>
      <c r="I65" s="3">
        <f t="shared" si="5"/>
        <v>3.3038081546646469</v>
      </c>
    </row>
    <row r="66" spans="1:9" x14ac:dyDescent="0.25">
      <c r="A66" s="3" t="s">
        <v>67</v>
      </c>
      <c r="B66" s="3">
        <v>28</v>
      </c>
      <c r="C66" s="3">
        <v>1</v>
      </c>
      <c r="D66" s="4">
        <f t="shared" si="0"/>
        <v>3.5714285714285712E-2</v>
      </c>
      <c r="E66" s="4">
        <f t="shared" si="1"/>
        <v>0.83650126771712052</v>
      </c>
      <c r="F66" s="4">
        <f t="shared" si="2"/>
        <v>6.3323564975418817E-3</v>
      </c>
      <c r="G66" s="4">
        <f t="shared" si="3"/>
        <v>0.17712576118498663</v>
      </c>
      <c r="H66" s="4">
        <f t="shared" si="4"/>
        <v>-1.6591856166140952</v>
      </c>
      <c r="I66" s="3">
        <f t="shared" si="5"/>
        <v>3.1467021479202582</v>
      </c>
    </row>
    <row r="67" spans="1:9" x14ac:dyDescent="0.25">
      <c r="A67" s="3" t="s">
        <v>68</v>
      </c>
      <c r="B67" s="3">
        <v>144</v>
      </c>
      <c r="C67" s="3">
        <v>16</v>
      </c>
      <c r="D67" s="4">
        <f t="shared" ref="D67:D130" si="6">IF(C67=0,"NaN",C67/B67)</f>
        <v>0.1111111111111111</v>
      </c>
      <c r="E67" s="4">
        <f t="shared" ref="E67:E130" si="7">IF(C67=0,"NaN",LN(D67/0.02)/LN(2))</f>
        <v>2.4739311883324122</v>
      </c>
      <c r="F67" s="4">
        <f t="shared" ref="F67:F130" si="8">IF(C67=0,"NaN",_xlfn.LET(_xlpm.N,B67,_xlpm.X,C67,_xlpm.p,_xlpm.X/_xlpm.N,_xlpm.z,1.96,(_xlpm.p+_xlpm.z^2/(2*_xlpm.N)-_xlpm.z*SQRT(_xlpm.p*(1-_xlpm.p)/_xlpm.N+_xlpm.z^2/(4*_xlpm.N^2)))/(1+_xlpm.z^2/_xlpm.N))
)</f>
        <v>6.9558788884309941E-2</v>
      </c>
      <c r="G67" s="4">
        <f t="shared" ref="G67:G130" si="9">IF(C67=0,"NaN",_xlfn.LET(_xlpm.N,B67,_xlpm.X,C67,_xlpm.p,_xlpm.X/_xlpm.N,_xlpm.z,1.96,(_xlpm.p+_xlpm.z^2/(2*_xlpm.N)+_xlpm.z*SQRT(_xlpm.p*(1-_xlpm.p)/_xlpm.N+_xlpm.z^2/(4*_xlpm.N^2)))/(1+_xlpm.z^2/_xlpm.N)))</f>
        <v>0.17287365232303628</v>
      </c>
      <c r="H67" s="4">
        <f t="shared" ref="H67:H130" si="10">IF(C67=0,"NaN",LN(F67/0.02)/LN(2))</f>
        <v>1.7982328135270316</v>
      </c>
      <c r="I67" s="3">
        <f t="shared" ref="I67:I130" si="11">IF(C67=0,"NaN",LN(G67/0.02)/LN(2))</f>
        <v>3.1116460994405677</v>
      </c>
    </row>
    <row r="68" spans="1:9" x14ac:dyDescent="0.25">
      <c r="A68" s="3" t="s">
        <v>69</v>
      </c>
      <c r="B68" s="3">
        <v>90</v>
      </c>
      <c r="C68" s="3">
        <v>21</v>
      </c>
      <c r="D68" s="4">
        <f t="shared" si="6"/>
        <v>0.23333333333333334</v>
      </c>
      <c r="E68" s="4">
        <f t="shared" si="7"/>
        <v>3.5443205162238103</v>
      </c>
      <c r="F68" s="4">
        <f t="shared" si="8"/>
        <v>0.15798078393937456</v>
      </c>
      <c r="G68" s="4">
        <f t="shared" si="9"/>
        <v>0.33051898588552181</v>
      </c>
      <c r="H68" s="4">
        <f t="shared" si="10"/>
        <v>2.9816771811293243</v>
      </c>
      <c r="I68" s="3">
        <f t="shared" si="11"/>
        <v>4.0466612412229699</v>
      </c>
    </row>
    <row r="69" spans="1:9" x14ac:dyDescent="0.25">
      <c r="A69" s="3" t="s">
        <v>70</v>
      </c>
      <c r="B69" s="3">
        <v>56</v>
      </c>
      <c r="C69" s="3">
        <v>3</v>
      </c>
      <c r="D69" s="4">
        <f t="shared" si="6"/>
        <v>5.3571428571428568E-2</v>
      </c>
      <c r="E69" s="4">
        <f t="shared" si="7"/>
        <v>1.4214637684382767</v>
      </c>
      <c r="F69" s="4">
        <f t="shared" si="8"/>
        <v>1.838544792866792E-2</v>
      </c>
      <c r="G69" s="4">
        <f t="shared" si="9"/>
        <v>0.14607539536429218</v>
      </c>
      <c r="H69" s="4">
        <f t="shared" si="10"/>
        <v>-0.12143567433745475</v>
      </c>
      <c r="I69" s="3">
        <f t="shared" si="11"/>
        <v>2.8686412889406836</v>
      </c>
    </row>
    <row r="70" spans="1:9" x14ac:dyDescent="0.25">
      <c r="A70" s="3" t="s">
        <v>71</v>
      </c>
      <c r="B70" s="3">
        <v>129</v>
      </c>
      <c r="C70" s="3">
        <v>7</v>
      </c>
      <c r="D70" s="4">
        <f t="shared" si="6"/>
        <v>5.4263565891472867E-2</v>
      </c>
      <c r="E70" s="4">
        <f t="shared" si="7"/>
        <v>1.4399838564090748</v>
      </c>
      <c r="F70" s="4">
        <f t="shared" si="8"/>
        <v>2.6530617490702069E-2</v>
      </c>
      <c r="G70" s="4">
        <f t="shared" si="9"/>
        <v>0.10777670792543263</v>
      </c>
      <c r="H70" s="4">
        <f t="shared" si="10"/>
        <v>0.40765825417220514</v>
      </c>
      <c r="I70" s="3">
        <f t="shared" si="11"/>
        <v>2.4299735198118246</v>
      </c>
    </row>
    <row r="71" spans="1:9" x14ac:dyDescent="0.25">
      <c r="A71" s="3" t="s">
        <v>72</v>
      </c>
      <c r="B71" s="3">
        <v>271</v>
      </c>
      <c r="C71" s="3">
        <v>66</v>
      </c>
      <c r="D71" s="4">
        <f t="shared" si="6"/>
        <v>0.24354243542435425</v>
      </c>
      <c r="E71" s="4">
        <f t="shared" si="7"/>
        <v>3.6061012677793065</v>
      </c>
      <c r="F71" s="4">
        <f t="shared" si="8"/>
        <v>0.19625548182705538</v>
      </c>
      <c r="G71" s="4">
        <f t="shared" si="9"/>
        <v>0.29799866310588058</v>
      </c>
      <c r="H71" s="4">
        <f t="shared" si="10"/>
        <v>3.2946610469515245</v>
      </c>
      <c r="I71" s="3">
        <f t="shared" si="11"/>
        <v>3.8972339533102267</v>
      </c>
    </row>
    <row r="72" spans="1:9" x14ac:dyDescent="0.25">
      <c r="A72" s="3" t="s">
        <v>73</v>
      </c>
      <c r="B72" s="3">
        <v>300</v>
      </c>
      <c r="C72" s="3">
        <v>46</v>
      </c>
      <c r="D72" s="4">
        <f t="shared" si="6"/>
        <v>0.15333333333333332</v>
      </c>
      <c r="E72" s="4">
        <f t="shared" si="7"/>
        <v>2.938599455335857</v>
      </c>
      <c r="F72" s="4">
        <f t="shared" si="8"/>
        <v>0.11696581414513027</v>
      </c>
      <c r="G72" s="4">
        <f t="shared" si="9"/>
        <v>0.1984669639866331</v>
      </c>
      <c r="H72" s="4">
        <f t="shared" si="10"/>
        <v>2.548015026661985</v>
      </c>
      <c r="I72" s="3">
        <f t="shared" si="11"/>
        <v>3.3108269770205561</v>
      </c>
    </row>
    <row r="73" spans="1:9" x14ac:dyDescent="0.25">
      <c r="A73" s="3" t="s">
        <v>74</v>
      </c>
      <c r="B73" s="3">
        <v>154</v>
      </c>
      <c r="C73" s="3">
        <v>17</v>
      </c>
      <c r="D73" s="4">
        <f t="shared" si="6"/>
        <v>0.11038961038961038</v>
      </c>
      <c r="E73" s="4">
        <f t="shared" si="7"/>
        <v>2.4645324903301624</v>
      </c>
      <c r="F73" s="4">
        <f t="shared" si="8"/>
        <v>7.0072157941528851E-2</v>
      </c>
      <c r="G73" s="4">
        <f t="shared" si="9"/>
        <v>0.16967199062260124</v>
      </c>
      <c r="H73" s="4">
        <f t="shared" si="10"/>
        <v>1.8088413261388014</v>
      </c>
      <c r="I73" s="3">
        <f t="shared" si="11"/>
        <v>3.0846765199621804</v>
      </c>
    </row>
    <row r="74" spans="1:9" x14ac:dyDescent="0.25">
      <c r="A74" s="3" t="s">
        <v>75</v>
      </c>
      <c r="B74" s="3">
        <v>424</v>
      </c>
      <c r="C74" s="3">
        <v>67</v>
      </c>
      <c r="D74" s="4">
        <f t="shared" si="6"/>
        <v>0.15801886792452829</v>
      </c>
      <c r="E74" s="4">
        <f t="shared" si="7"/>
        <v>2.9820249256692981</v>
      </c>
      <c r="F74" s="4">
        <f t="shared" si="8"/>
        <v>0.12638969404815178</v>
      </c>
      <c r="G74" s="4">
        <f t="shared" si="9"/>
        <v>0.19578935539444567</v>
      </c>
      <c r="H74" s="4">
        <f t="shared" si="10"/>
        <v>2.6598069242900597</v>
      </c>
      <c r="I74" s="3">
        <f t="shared" si="11"/>
        <v>3.291230426033783</v>
      </c>
    </row>
    <row r="75" spans="1:9" x14ac:dyDescent="0.25">
      <c r="A75" s="3" t="s">
        <v>76</v>
      </c>
      <c r="B75" s="3">
        <v>125</v>
      </c>
      <c r="C75" s="3">
        <v>15</v>
      </c>
      <c r="D75" s="4">
        <f t="shared" si="6"/>
        <v>0.12</v>
      </c>
      <c r="E75" s="4">
        <f t="shared" si="7"/>
        <v>2.5849625007211561</v>
      </c>
      <c r="F75" s="4">
        <f t="shared" si="8"/>
        <v>7.4085232105143825E-2</v>
      </c>
      <c r="G75" s="4">
        <f t="shared" si="9"/>
        <v>0.18857527506024374</v>
      </c>
      <c r="H75" s="4">
        <f t="shared" si="10"/>
        <v>1.889185989332437</v>
      </c>
      <c r="I75" s="3">
        <f t="shared" si="11"/>
        <v>3.2370686251616014</v>
      </c>
    </row>
    <row r="76" spans="1:9" x14ac:dyDescent="0.25">
      <c r="A76" s="3" t="s">
        <v>77</v>
      </c>
      <c r="B76" s="3">
        <v>110</v>
      </c>
      <c r="C76" s="3">
        <v>17</v>
      </c>
      <c r="D76" s="4">
        <f t="shared" si="6"/>
        <v>0.15454545454545454</v>
      </c>
      <c r="E76" s="4">
        <f t="shared" si="7"/>
        <v>2.9499593175004049</v>
      </c>
      <c r="F76" s="4">
        <f t="shared" si="8"/>
        <v>9.8785704782089853E-2</v>
      </c>
      <c r="G76" s="4">
        <f t="shared" si="9"/>
        <v>0.2336200238794891</v>
      </c>
      <c r="H76" s="4">
        <f t="shared" si="10"/>
        <v>2.3043022854118509</v>
      </c>
      <c r="I76" s="3">
        <f t="shared" si="11"/>
        <v>3.5460920296942207</v>
      </c>
    </row>
    <row r="77" spans="1:9" x14ac:dyDescent="0.25">
      <c r="A77" s="3" t="s">
        <v>78</v>
      </c>
      <c r="B77" s="3">
        <v>86</v>
      </c>
      <c r="C77" s="3">
        <v>10</v>
      </c>
      <c r="D77" s="4">
        <f t="shared" si="6"/>
        <v>0.11627906976744186</v>
      </c>
      <c r="E77" s="4">
        <f t="shared" si="7"/>
        <v>2.5395195299599891</v>
      </c>
      <c r="F77" s="4">
        <f t="shared" si="8"/>
        <v>6.4399764943425725E-2</v>
      </c>
      <c r="G77" s="4">
        <f t="shared" si="9"/>
        <v>0.200973959478223</v>
      </c>
      <c r="H77" s="4">
        <f t="shared" si="10"/>
        <v>1.6870554225701266</v>
      </c>
      <c r="I77" s="3">
        <f t="shared" si="11"/>
        <v>3.3289366760655343</v>
      </c>
    </row>
    <row r="78" spans="1:9" x14ac:dyDescent="0.25">
      <c r="A78" s="3" t="s">
        <v>79</v>
      </c>
      <c r="B78" s="3">
        <v>10</v>
      </c>
      <c r="C78" s="3">
        <v>2</v>
      </c>
      <c r="D78" s="4">
        <f t="shared" si="6"/>
        <v>0.2</v>
      </c>
      <c r="E78" s="4">
        <f t="shared" si="7"/>
        <v>3.3219280948873626</v>
      </c>
      <c r="F78" s="4">
        <f t="shared" si="8"/>
        <v>5.6680947980693321E-2</v>
      </c>
      <c r="G78" s="4">
        <f t="shared" si="9"/>
        <v>0.50984315327927654</v>
      </c>
      <c r="H78" s="4">
        <f t="shared" si="10"/>
        <v>1.5028638873245306</v>
      </c>
      <c r="I78" s="3">
        <f t="shared" si="11"/>
        <v>4.6719815835617364</v>
      </c>
    </row>
    <row r="79" spans="1:9" x14ac:dyDescent="0.25">
      <c r="A79" s="3" t="s">
        <v>80</v>
      </c>
      <c r="B79" s="3">
        <v>128</v>
      </c>
      <c r="C79" s="3">
        <v>13</v>
      </c>
      <c r="D79" s="4">
        <f t="shared" si="6"/>
        <v>0.1015625</v>
      </c>
      <c r="E79" s="4">
        <f t="shared" si="7"/>
        <v>2.344295907915817</v>
      </c>
      <c r="F79" s="4">
        <f t="shared" si="8"/>
        <v>6.0318074551540965E-2</v>
      </c>
      <c r="G79" s="4">
        <f t="shared" si="9"/>
        <v>0.16602626592976388</v>
      </c>
      <c r="H79" s="4">
        <f t="shared" si="10"/>
        <v>1.592590376231257</v>
      </c>
      <c r="I79" s="3">
        <f t="shared" si="11"/>
        <v>3.0533395938631602</v>
      </c>
    </row>
    <row r="80" spans="1:9" x14ac:dyDescent="0.25">
      <c r="A80" s="3" t="s">
        <v>81</v>
      </c>
      <c r="B80" s="3">
        <v>31</v>
      </c>
      <c r="C80" s="3">
        <v>6</v>
      </c>
      <c r="D80" s="4">
        <f t="shared" si="6"/>
        <v>0.19354838709677419</v>
      </c>
      <c r="E80" s="4">
        <f t="shared" si="7"/>
        <v>3.2746223801090055</v>
      </c>
      <c r="F80" s="4">
        <f t="shared" si="8"/>
        <v>9.1868835863476314E-2</v>
      </c>
      <c r="G80" s="4">
        <f t="shared" si="9"/>
        <v>0.3628060355545985</v>
      </c>
      <c r="H80" s="4">
        <f t="shared" si="10"/>
        <v>2.1995755473666083</v>
      </c>
      <c r="I80" s="3">
        <f t="shared" si="11"/>
        <v>4.1811265512837323</v>
      </c>
    </row>
    <row r="81" spans="1:9" x14ac:dyDescent="0.25">
      <c r="A81" s="3" t="s">
        <v>82</v>
      </c>
      <c r="B81" s="3">
        <v>16</v>
      </c>
      <c r="C81" s="3">
        <v>0</v>
      </c>
      <c r="D81" s="4" t="str">
        <f t="shared" si="6"/>
        <v>NaN</v>
      </c>
      <c r="E81" s="4" t="str">
        <f t="shared" si="7"/>
        <v>NaN</v>
      </c>
      <c r="F81" s="4" t="str">
        <f t="shared" si="8"/>
        <v>NaN</v>
      </c>
      <c r="G81" s="4" t="str">
        <f t="shared" si="9"/>
        <v>NaN</v>
      </c>
      <c r="H81" s="4" t="str">
        <f t="shared" si="10"/>
        <v>NaN</v>
      </c>
      <c r="I81" s="3" t="str">
        <f t="shared" si="11"/>
        <v>NaN</v>
      </c>
    </row>
    <row r="82" spans="1:9" x14ac:dyDescent="0.25">
      <c r="A82" s="3" t="s">
        <v>83</v>
      </c>
      <c r="B82" s="3">
        <v>44</v>
      </c>
      <c r="C82" s="3">
        <v>2</v>
      </c>
      <c r="D82" s="4">
        <f t="shared" si="6"/>
        <v>4.5454545454545456E-2</v>
      </c>
      <c r="E82" s="4">
        <f t="shared" si="7"/>
        <v>1.1844245711374277</v>
      </c>
      <c r="F82" s="4">
        <f t="shared" si="8"/>
        <v>1.2554846366981074E-2</v>
      </c>
      <c r="G82" s="4">
        <f t="shared" si="9"/>
        <v>0.15135271525303162</v>
      </c>
      <c r="H82" s="4">
        <f t="shared" si="10"/>
        <v>-0.67175562546869538</v>
      </c>
      <c r="I82" s="3">
        <f t="shared" si="11"/>
        <v>2.9198426520940535</v>
      </c>
    </row>
    <row r="83" spans="1:9" x14ac:dyDescent="0.25">
      <c r="A83" s="3" t="s">
        <v>84</v>
      </c>
      <c r="B83" s="3">
        <v>33</v>
      </c>
      <c r="C83" s="3">
        <v>14</v>
      </c>
      <c r="D83" s="4">
        <f t="shared" si="6"/>
        <v>0.42424242424242425</v>
      </c>
      <c r="E83" s="4">
        <f t="shared" si="7"/>
        <v>4.4068169924738756</v>
      </c>
      <c r="F83" s="4">
        <f t="shared" si="8"/>
        <v>0.27235358995029901</v>
      </c>
      <c r="G83" s="4">
        <f t="shared" si="9"/>
        <v>0.59193026308539975</v>
      </c>
      <c r="H83" s="4">
        <f t="shared" si="10"/>
        <v>3.7674089786596574</v>
      </c>
      <c r="I83" s="3">
        <f t="shared" si="11"/>
        <v>4.8873553129254663</v>
      </c>
    </row>
    <row r="84" spans="1:9" x14ac:dyDescent="0.25">
      <c r="A84" s="3" t="s">
        <v>85</v>
      </c>
      <c r="B84" s="3">
        <v>365</v>
      </c>
      <c r="C84" s="3">
        <v>15</v>
      </c>
      <c r="D84" s="4">
        <f t="shared" si="6"/>
        <v>4.1095890410958902E-2</v>
      </c>
      <c r="E84" s="4">
        <f t="shared" si="7"/>
        <v>1.0389941316158635</v>
      </c>
      <c r="F84" s="4">
        <f t="shared" si="8"/>
        <v>2.506011154476338E-2</v>
      </c>
      <c r="G84" s="4">
        <f t="shared" si="9"/>
        <v>6.6690927383600426E-2</v>
      </c>
      <c r="H84" s="4">
        <f t="shared" si="10"/>
        <v>0.32539283623674153</v>
      </c>
      <c r="I84" s="3">
        <f t="shared" si="11"/>
        <v>1.7374905109007068</v>
      </c>
    </row>
    <row r="85" spans="1:9" x14ac:dyDescent="0.25">
      <c r="A85" s="3" t="s">
        <v>86</v>
      </c>
      <c r="B85" s="3">
        <v>133</v>
      </c>
      <c r="C85" s="3">
        <v>14</v>
      </c>
      <c r="D85" s="4">
        <f t="shared" si="6"/>
        <v>0.10526315789473684</v>
      </c>
      <c r="E85" s="4">
        <f t="shared" si="7"/>
        <v>2.3959286763311392</v>
      </c>
      <c r="F85" s="4">
        <f t="shared" si="8"/>
        <v>6.3744096987767729E-2</v>
      </c>
      <c r="G85" s="4">
        <f t="shared" si="9"/>
        <v>0.16894537755798442</v>
      </c>
      <c r="H85" s="4">
        <f t="shared" si="10"/>
        <v>1.6722917476062487</v>
      </c>
      <c r="I85" s="3">
        <f t="shared" si="11"/>
        <v>3.0784849729688188</v>
      </c>
    </row>
    <row r="86" spans="1:9" x14ac:dyDescent="0.25">
      <c r="A86" s="3" t="s">
        <v>87</v>
      </c>
      <c r="B86" s="3">
        <v>65</v>
      </c>
      <c r="C86" s="3">
        <v>1</v>
      </c>
      <c r="D86" s="4">
        <f t="shared" si="6"/>
        <v>1.5384615384615385E-2</v>
      </c>
      <c r="E86" s="4">
        <f t="shared" si="7"/>
        <v>-0.37851162325372978</v>
      </c>
      <c r="F86" s="4">
        <f t="shared" si="8"/>
        <v>2.7208745274866189E-3</v>
      </c>
      <c r="G86" s="4">
        <f t="shared" si="9"/>
        <v>8.2134794137971465E-2</v>
      </c>
      <c r="H86" s="4">
        <f t="shared" si="10"/>
        <v>-2.8778576663212978</v>
      </c>
      <c r="I86" s="3">
        <f t="shared" si="11"/>
        <v>2.0379935094141053</v>
      </c>
    </row>
    <row r="87" spans="1:9" x14ac:dyDescent="0.25">
      <c r="A87" s="3" t="s">
        <v>88</v>
      </c>
      <c r="B87" s="3">
        <v>48</v>
      </c>
      <c r="C87" s="3">
        <v>1</v>
      </c>
      <c r="D87" s="4">
        <f t="shared" si="6"/>
        <v>2.0833333333333332E-2</v>
      </c>
      <c r="E87" s="4">
        <f t="shared" si="7"/>
        <v>5.8893689053568309E-2</v>
      </c>
      <c r="F87" s="4">
        <f t="shared" si="8"/>
        <v>3.6870159793996895E-3</v>
      </c>
      <c r="G87" s="4">
        <f t="shared" si="9"/>
        <v>0.10899469137531158</v>
      </c>
      <c r="H87" s="4">
        <f t="shared" si="10"/>
        <v>-2.4394744258516905</v>
      </c>
      <c r="I87" s="3">
        <f t="shared" si="11"/>
        <v>2.4461859646325053</v>
      </c>
    </row>
    <row r="88" spans="1:9" x14ac:dyDescent="0.25">
      <c r="A88" s="3" t="s">
        <v>89</v>
      </c>
      <c r="B88" s="3">
        <v>9</v>
      </c>
      <c r="C88" s="3">
        <v>0</v>
      </c>
      <c r="D88" s="4" t="str">
        <f t="shared" si="6"/>
        <v>NaN</v>
      </c>
      <c r="E88" s="4" t="str">
        <f t="shared" si="7"/>
        <v>NaN</v>
      </c>
      <c r="F88" s="4" t="str">
        <f t="shared" si="8"/>
        <v>NaN</v>
      </c>
      <c r="G88" s="4" t="str">
        <f t="shared" si="9"/>
        <v>NaN</v>
      </c>
      <c r="H88" s="4" t="str">
        <f t="shared" si="10"/>
        <v>NaN</v>
      </c>
      <c r="I88" s="3" t="str">
        <f t="shared" si="11"/>
        <v>NaN</v>
      </c>
    </row>
    <row r="89" spans="1:9" x14ac:dyDescent="0.25">
      <c r="A89" s="3" t="s">
        <v>90</v>
      </c>
      <c r="B89" s="3">
        <v>39</v>
      </c>
      <c r="C89" s="3">
        <v>3</v>
      </c>
      <c r="D89" s="4">
        <f t="shared" si="6"/>
        <v>7.6923076923076927E-2</v>
      </c>
      <c r="E89" s="4">
        <f t="shared" si="7"/>
        <v>1.9434164716336328</v>
      </c>
      <c r="F89" s="4">
        <f t="shared" si="8"/>
        <v>2.6506914073495681E-2</v>
      </c>
      <c r="G89" s="4">
        <f t="shared" si="9"/>
        <v>0.20321373128055273</v>
      </c>
      <c r="H89" s="4">
        <f t="shared" si="10"/>
        <v>0.40636872188350281</v>
      </c>
      <c r="I89" s="3">
        <f t="shared" si="11"/>
        <v>3.3449259841089303</v>
      </c>
    </row>
    <row r="90" spans="1:9" x14ac:dyDescent="0.25">
      <c r="A90" s="3" t="s">
        <v>91</v>
      </c>
      <c r="B90" s="3">
        <v>29</v>
      </c>
      <c r="C90" s="3">
        <v>1</v>
      </c>
      <c r="D90" s="4">
        <f t="shared" si="6"/>
        <v>3.4482758620689655E-2</v>
      </c>
      <c r="E90" s="4">
        <f t="shared" si="7"/>
        <v>0.7858751946471525</v>
      </c>
      <c r="F90" s="4">
        <f t="shared" si="8"/>
        <v>6.1130566140322638E-3</v>
      </c>
      <c r="G90" s="4">
        <f t="shared" si="9"/>
        <v>0.17175891064700252</v>
      </c>
      <c r="H90" s="4">
        <f t="shared" si="10"/>
        <v>-1.710034166684427</v>
      </c>
      <c r="I90" s="3">
        <f t="shared" si="11"/>
        <v>3.1023130411666964</v>
      </c>
    </row>
    <row r="91" spans="1:9" x14ac:dyDescent="0.25">
      <c r="A91" s="3" t="s">
        <v>92</v>
      </c>
      <c r="B91" s="3">
        <v>31</v>
      </c>
      <c r="C91" s="3">
        <v>0</v>
      </c>
      <c r="D91" s="4" t="str">
        <f t="shared" si="6"/>
        <v>NaN</v>
      </c>
      <c r="E91" s="4" t="str">
        <f t="shared" si="7"/>
        <v>NaN</v>
      </c>
      <c r="F91" s="4" t="str">
        <f t="shared" si="8"/>
        <v>NaN</v>
      </c>
      <c r="G91" s="4" t="str">
        <f t="shared" si="9"/>
        <v>NaN</v>
      </c>
      <c r="H91" s="4" t="str">
        <f t="shared" si="10"/>
        <v>NaN</v>
      </c>
      <c r="I91" s="3" t="str">
        <f t="shared" si="11"/>
        <v>NaN</v>
      </c>
    </row>
    <row r="92" spans="1:9" x14ac:dyDescent="0.25">
      <c r="A92" s="3" t="s">
        <v>93</v>
      </c>
      <c r="B92" s="3">
        <v>37</v>
      </c>
      <c r="C92" s="3">
        <v>4</v>
      </c>
      <c r="D92" s="4">
        <f t="shared" si="6"/>
        <v>0.10810810810810811</v>
      </c>
      <c r="E92" s="4">
        <f t="shared" si="7"/>
        <v>2.4344028241457751</v>
      </c>
      <c r="F92" s="4">
        <f t="shared" si="8"/>
        <v>4.2851205205062678E-2</v>
      </c>
      <c r="G92" s="4">
        <f t="shared" si="9"/>
        <v>0.24708846415167166</v>
      </c>
      <c r="H92" s="4">
        <f t="shared" si="10"/>
        <v>1.0993357812086169</v>
      </c>
      <c r="I92" s="3">
        <f t="shared" si="11"/>
        <v>3.6269557518524418</v>
      </c>
    </row>
    <row r="93" spans="1:9" x14ac:dyDescent="0.25">
      <c r="A93" s="3" t="s">
        <v>94</v>
      </c>
      <c r="B93" s="3">
        <v>63</v>
      </c>
      <c r="C93" s="3">
        <v>1</v>
      </c>
      <c r="D93" s="4">
        <f t="shared" si="6"/>
        <v>1.5873015873015872E-2</v>
      </c>
      <c r="E93" s="4">
        <f t="shared" si="7"/>
        <v>-0.33342373372519191</v>
      </c>
      <c r="F93" s="4">
        <f t="shared" si="8"/>
        <v>2.8074219075510881E-3</v>
      </c>
      <c r="G93" s="4">
        <f t="shared" si="9"/>
        <v>8.4587254461656103E-2</v>
      </c>
      <c r="H93" s="4">
        <f t="shared" si="10"/>
        <v>-2.8326822023258531</v>
      </c>
      <c r="I93" s="3">
        <f t="shared" si="11"/>
        <v>2.0804402956119938</v>
      </c>
    </row>
    <row r="94" spans="1:9" x14ac:dyDescent="0.25">
      <c r="A94" s="3" t="s">
        <v>95</v>
      </c>
      <c r="B94" s="3">
        <v>26</v>
      </c>
      <c r="C94" s="3">
        <v>1</v>
      </c>
      <c r="D94" s="4">
        <f t="shared" si="6"/>
        <v>3.8461538461538464E-2</v>
      </c>
      <c r="E94" s="4">
        <f t="shared" si="7"/>
        <v>0.94341647163363263</v>
      </c>
      <c r="F94" s="4">
        <f t="shared" si="8"/>
        <v>6.8218089769898817E-3</v>
      </c>
      <c r="G94" s="4">
        <f t="shared" si="9"/>
        <v>0.18893176991958402</v>
      </c>
      <c r="H94" s="4">
        <f t="shared" si="10"/>
        <v>-1.5517737374452565</v>
      </c>
      <c r="I94" s="3">
        <f t="shared" si="11"/>
        <v>3.2397934141444638</v>
      </c>
    </row>
    <row r="95" spans="1:9" x14ac:dyDescent="0.25">
      <c r="A95" s="3" t="s">
        <v>96</v>
      </c>
      <c r="B95" s="3">
        <v>94</v>
      </c>
      <c r="C95" s="3">
        <v>9</v>
      </c>
      <c r="D95" s="4">
        <f t="shared" si="6"/>
        <v>9.5744680851063829E-2</v>
      </c>
      <c r="E95" s="4">
        <f t="shared" si="7"/>
        <v>2.2591923395393998</v>
      </c>
      <c r="F95" s="4">
        <f t="shared" si="8"/>
        <v>5.1191380830443195E-2</v>
      </c>
      <c r="G95" s="4">
        <f t="shared" si="9"/>
        <v>0.17204290806098951</v>
      </c>
      <c r="H95" s="4">
        <f t="shared" si="10"/>
        <v>1.3559009219449396</v>
      </c>
      <c r="I95" s="3">
        <f t="shared" si="11"/>
        <v>3.1046965175282608</v>
      </c>
    </row>
    <row r="96" spans="1:9" x14ac:dyDescent="0.25">
      <c r="A96" s="3" t="s">
        <v>97</v>
      </c>
      <c r="B96" s="3">
        <v>59</v>
      </c>
      <c r="C96" s="3">
        <v>6</v>
      </c>
      <c r="D96" s="4">
        <f t="shared" si="6"/>
        <v>0.10169491525423729</v>
      </c>
      <c r="E96" s="4">
        <f t="shared" si="7"/>
        <v>2.3461756411340398</v>
      </c>
      <c r="F96" s="4">
        <f t="shared" si="8"/>
        <v>4.7447326513182495E-2</v>
      </c>
      <c r="G96" s="4">
        <f t="shared" si="9"/>
        <v>0.20464046246736539</v>
      </c>
      <c r="H96" s="4">
        <f t="shared" si="10"/>
        <v>1.2463267988409841</v>
      </c>
      <c r="I96" s="3">
        <f t="shared" si="11"/>
        <v>3.3550195245724663</v>
      </c>
    </row>
    <row r="97" spans="1:9" x14ac:dyDescent="0.25">
      <c r="A97" s="3" t="s">
        <v>98</v>
      </c>
      <c r="B97" s="3">
        <v>120</v>
      </c>
      <c r="C97" s="3">
        <v>16</v>
      </c>
      <c r="D97" s="4">
        <f t="shared" si="6"/>
        <v>0.13333333333333333</v>
      </c>
      <c r="E97" s="4">
        <f t="shared" si="7"/>
        <v>2.7369655941662061</v>
      </c>
      <c r="F97" s="4">
        <f t="shared" si="8"/>
        <v>8.3765371775531491E-2</v>
      </c>
      <c r="G97" s="4">
        <f t="shared" si="9"/>
        <v>0.20564949366548352</v>
      </c>
      <c r="H97" s="4">
        <f t="shared" si="10"/>
        <v>2.0663539635846337</v>
      </c>
      <c r="I97" s="3">
        <f t="shared" si="11"/>
        <v>3.3621156146362083</v>
      </c>
    </row>
    <row r="98" spans="1:9" x14ac:dyDescent="0.25">
      <c r="A98" s="3" t="s">
        <v>99</v>
      </c>
      <c r="B98" s="3">
        <v>32</v>
      </c>
      <c r="C98" s="3">
        <v>4</v>
      </c>
      <c r="D98" s="4">
        <f t="shared" si="6"/>
        <v>0.125</v>
      </c>
      <c r="E98" s="4">
        <f t="shared" si="7"/>
        <v>2.6438561897747248</v>
      </c>
      <c r="F98" s="4">
        <f t="shared" si="8"/>
        <v>4.9700538444743002E-2</v>
      </c>
      <c r="G98" s="4">
        <f t="shared" si="9"/>
        <v>0.28068649784827965</v>
      </c>
      <c r="H98" s="4">
        <f t="shared" si="10"/>
        <v>1.3132614817141735</v>
      </c>
      <c r="I98" s="3">
        <f t="shared" si="11"/>
        <v>3.8108877609613776</v>
      </c>
    </row>
    <row r="99" spans="1:9" x14ac:dyDescent="0.25">
      <c r="A99" s="3" t="s">
        <v>100</v>
      </c>
      <c r="B99" s="3">
        <v>86</v>
      </c>
      <c r="C99" s="3">
        <v>11</v>
      </c>
      <c r="D99" s="4">
        <f t="shared" si="6"/>
        <v>0.12790697674418605</v>
      </c>
      <c r="E99" s="4">
        <f t="shared" si="7"/>
        <v>2.6770230537099242</v>
      </c>
      <c r="F99" s="4">
        <f t="shared" si="8"/>
        <v>7.2945468198795244E-2</v>
      </c>
      <c r="G99" s="4">
        <f t="shared" si="9"/>
        <v>0.21468965851310656</v>
      </c>
      <c r="H99" s="4">
        <f t="shared" si="10"/>
        <v>1.8668183522321324</v>
      </c>
      <c r="I99" s="3">
        <f t="shared" si="11"/>
        <v>3.4241807939033979</v>
      </c>
    </row>
    <row r="100" spans="1:9" x14ac:dyDescent="0.25">
      <c r="A100" s="3" t="s">
        <v>101</v>
      </c>
      <c r="B100" s="3">
        <v>122</v>
      </c>
      <c r="C100" s="3">
        <v>9</v>
      </c>
      <c r="D100" s="4">
        <f t="shared" si="6"/>
        <v>7.3770491803278687E-2</v>
      </c>
      <c r="E100" s="4">
        <f t="shared" si="7"/>
        <v>1.8830438536541507</v>
      </c>
      <c r="F100" s="4">
        <f t="shared" si="8"/>
        <v>3.9293359627798931E-2</v>
      </c>
      <c r="G100" s="4">
        <f t="shared" si="9"/>
        <v>0.13427086714617725</v>
      </c>
      <c r="H100" s="4">
        <f t="shared" si="10"/>
        <v>0.9742855251687117</v>
      </c>
      <c r="I100" s="3">
        <f t="shared" si="11"/>
        <v>2.7470744109481089</v>
      </c>
    </row>
    <row r="101" spans="1:9" x14ac:dyDescent="0.25">
      <c r="A101" s="3" t="s">
        <v>102</v>
      </c>
      <c r="B101" s="3">
        <v>134</v>
      </c>
      <c r="C101" s="3">
        <v>12</v>
      </c>
      <c r="D101" s="4">
        <f t="shared" si="6"/>
        <v>8.9552238805970144E-2</v>
      </c>
      <c r="E101" s="4">
        <f t="shared" si="7"/>
        <v>2.1627295000381084</v>
      </c>
      <c r="F101" s="4">
        <f t="shared" si="8"/>
        <v>5.1969456753343961E-2</v>
      </c>
      <c r="G101" s="4">
        <f t="shared" si="9"/>
        <v>0.15001310874212331</v>
      </c>
      <c r="H101" s="4">
        <f t="shared" si="10"/>
        <v>1.3776639783178624</v>
      </c>
      <c r="I101" s="3">
        <f t="shared" si="11"/>
        <v>2.9070166695480535</v>
      </c>
    </row>
    <row r="102" spans="1:9" x14ac:dyDescent="0.25">
      <c r="A102" s="3" t="s">
        <v>103</v>
      </c>
      <c r="B102" s="3">
        <v>72</v>
      </c>
      <c r="C102" s="3">
        <v>7</v>
      </c>
      <c r="D102" s="4">
        <f t="shared" si="6"/>
        <v>9.7222222222222224E-2</v>
      </c>
      <c r="E102" s="4">
        <f t="shared" si="7"/>
        <v>2.2812861103900164</v>
      </c>
      <c r="F102" s="4">
        <f t="shared" si="8"/>
        <v>4.7895711261167928E-2</v>
      </c>
      <c r="G102" s="4">
        <f t="shared" si="9"/>
        <v>0.18735249025356804</v>
      </c>
      <c r="H102" s="4">
        <f t="shared" si="10"/>
        <v>1.2598964781064688</v>
      </c>
      <c r="I102" s="3">
        <f t="shared" si="11"/>
        <v>3.2276832487091611</v>
      </c>
    </row>
    <row r="103" spans="1:9" x14ac:dyDescent="0.25">
      <c r="A103" s="3" t="s">
        <v>104</v>
      </c>
      <c r="B103" s="3">
        <v>48</v>
      </c>
      <c r="C103" s="3">
        <v>2</v>
      </c>
      <c r="D103" s="4">
        <f t="shared" si="6"/>
        <v>4.1666666666666664E-2</v>
      </c>
      <c r="E103" s="4">
        <f t="shared" si="7"/>
        <v>1.0588936890535683</v>
      </c>
      <c r="F103" s="4">
        <f t="shared" si="8"/>
        <v>1.1501652078965609E-2</v>
      </c>
      <c r="G103" s="4">
        <f t="shared" si="9"/>
        <v>0.13975911147771475</v>
      </c>
      <c r="H103" s="4">
        <f t="shared" si="10"/>
        <v>-0.79815889753074565</v>
      </c>
      <c r="I103" s="3">
        <f t="shared" si="11"/>
        <v>2.8048704363115604</v>
      </c>
    </row>
    <row r="104" spans="1:9" x14ac:dyDescent="0.25">
      <c r="A104" s="3" t="s">
        <v>105</v>
      </c>
      <c r="B104" s="3">
        <v>49</v>
      </c>
      <c r="C104" s="3">
        <v>3</v>
      </c>
      <c r="D104" s="4">
        <f t="shared" si="6"/>
        <v>6.1224489795918366E-2</v>
      </c>
      <c r="E104" s="4">
        <f t="shared" si="7"/>
        <v>1.6141088463806725</v>
      </c>
      <c r="F104" s="4">
        <f t="shared" si="8"/>
        <v>2.1039764955529193E-2</v>
      </c>
      <c r="G104" s="4">
        <f t="shared" si="9"/>
        <v>0.16520743422087725</v>
      </c>
      <c r="H104" s="4">
        <f t="shared" si="10"/>
        <v>7.3118587739221183E-2</v>
      </c>
      <c r="I104" s="3">
        <f t="shared" si="11"/>
        <v>3.0462067033897147</v>
      </c>
    </row>
    <row r="105" spans="1:9" x14ac:dyDescent="0.25">
      <c r="A105" s="3" t="s">
        <v>106</v>
      </c>
      <c r="B105" s="3">
        <v>511</v>
      </c>
      <c r="C105" s="3">
        <v>41</v>
      </c>
      <c r="D105" s="4">
        <f t="shared" si="6"/>
        <v>8.0234833659491189E-2</v>
      </c>
      <c r="E105" s="4">
        <f t="shared" si="7"/>
        <v>2.0042287134551868</v>
      </c>
      <c r="F105" s="4">
        <f t="shared" si="8"/>
        <v>5.9692879803707168E-2</v>
      </c>
      <c r="G105" s="4">
        <f t="shared" si="9"/>
        <v>0.10704112148911765</v>
      </c>
      <c r="H105" s="4">
        <f t="shared" si="10"/>
        <v>1.5775588563728555</v>
      </c>
      <c r="I105" s="3">
        <f t="shared" si="11"/>
        <v>2.4200932314344614</v>
      </c>
    </row>
    <row r="106" spans="1:9" x14ac:dyDescent="0.25">
      <c r="A106" s="3" t="s">
        <v>107</v>
      </c>
      <c r="B106" s="3">
        <v>3251</v>
      </c>
      <c r="C106" s="3">
        <v>371</v>
      </c>
      <c r="D106" s="4">
        <f t="shared" si="6"/>
        <v>0.11411873269763149</v>
      </c>
      <c r="E106" s="4">
        <f t="shared" si="7"/>
        <v>2.5124637257051718</v>
      </c>
      <c r="F106" s="4">
        <f t="shared" si="8"/>
        <v>0.10364129880485769</v>
      </c>
      <c r="G106" s="4">
        <f t="shared" si="9"/>
        <v>0.12550705667886233</v>
      </c>
      <c r="H106" s="4">
        <f t="shared" si="10"/>
        <v>2.373527095097189</v>
      </c>
      <c r="I106" s="3">
        <f t="shared" si="11"/>
        <v>2.6496965773852388</v>
      </c>
    </row>
    <row r="107" spans="1:9" x14ac:dyDescent="0.25">
      <c r="A107" s="3" t="s">
        <v>108</v>
      </c>
      <c r="B107" s="3">
        <v>2046</v>
      </c>
      <c r="C107" s="3">
        <v>214</v>
      </c>
      <c r="D107" s="4">
        <f t="shared" si="6"/>
        <v>0.10459433040078202</v>
      </c>
      <c r="E107" s="4">
        <f t="shared" si="7"/>
        <v>2.386732746430543</v>
      </c>
      <c r="F107" s="4">
        <f t="shared" si="8"/>
        <v>9.2066357872623183E-2</v>
      </c>
      <c r="G107" s="4">
        <f t="shared" si="9"/>
        <v>0.11860435931840271</v>
      </c>
      <c r="H107" s="4">
        <f t="shared" si="10"/>
        <v>2.2026740749165987</v>
      </c>
      <c r="I107" s="3">
        <f t="shared" si="11"/>
        <v>2.5680851321866269</v>
      </c>
    </row>
    <row r="108" spans="1:9" x14ac:dyDescent="0.25">
      <c r="A108" s="3" t="s">
        <v>109</v>
      </c>
      <c r="B108" s="3">
        <v>28</v>
      </c>
      <c r="C108" s="3">
        <v>2</v>
      </c>
      <c r="D108" s="4">
        <f t="shared" si="6"/>
        <v>7.1428571428571425E-2</v>
      </c>
      <c r="E108" s="4">
        <f t="shared" si="7"/>
        <v>1.8365012677171204</v>
      </c>
      <c r="F108" s="4">
        <f t="shared" si="8"/>
        <v>1.9811647447770791E-2</v>
      </c>
      <c r="G108" s="4">
        <f t="shared" si="9"/>
        <v>0.22645738425917861</v>
      </c>
      <c r="H108" s="4">
        <f t="shared" si="10"/>
        <v>-1.3651146733440863E-2</v>
      </c>
      <c r="I108" s="3">
        <f t="shared" si="11"/>
        <v>3.5011676780396037</v>
      </c>
    </row>
    <row r="109" spans="1:9" x14ac:dyDescent="0.25">
      <c r="A109" s="3" t="s">
        <v>110</v>
      </c>
      <c r="B109" s="3">
        <v>2777</v>
      </c>
      <c r="C109" s="3">
        <v>310</v>
      </c>
      <c r="D109" s="4">
        <f t="shared" si="6"/>
        <v>0.11163125675189053</v>
      </c>
      <c r="E109" s="4">
        <f t="shared" si="7"/>
        <v>2.4806691332301165</v>
      </c>
      <c r="F109" s="4">
        <f t="shared" si="8"/>
        <v>0.10045085528766853</v>
      </c>
      <c r="G109" s="4">
        <f t="shared" si="9"/>
        <v>0.12388468399655393</v>
      </c>
      <c r="H109" s="4">
        <f t="shared" si="10"/>
        <v>2.3284179428214324</v>
      </c>
      <c r="I109" s="3">
        <f t="shared" si="11"/>
        <v>2.6309259313726709</v>
      </c>
    </row>
    <row r="110" spans="1:9" x14ac:dyDescent="0.25">
      <c r="A110" s="3" t="s">
        <v>111</v>
      </c>
      <c r="B110" s="3">
        <v>88</v>
      </c>
      <c r="C110" s="3">
        <v>9</v>
      </c>
      <c r="D110" s="4">
        <f t="shared" si="6"/>
        <v>0.10227272727272728</v>
      </c>
      <c r="E110" s="4">
        <f t="shared" si="7"/>
        <v>2.3543495725797401</v>
      </c>
      <c r="F110" s="4">
        <f t="shared" si="8"/>
        <v>5.4743880751445935E-2</v>
      </c>
      <c r="G110" s="4">
        <f t="shared" si="9"/>
        <v>0.18307427572666421</v>
      </c>
      <c r="H110" s="4">
        <f t="shared" si="10"/>
        <v>1.4526977098657499</v>
      </c>
      <c r="I110" s="3">
        <f t="shared" si="11"/>
        <v>3.1943571831890538</v>
      </c>
    </row>
    <row r="111" spans="1:9" x14ac:dyDescent="0.25">
      <c r="A111" s="3" t="s">
        <v>112</v>
      </c>
      <c r="B111" s="3">
        <v>1018</v>
      </c>
      <c r="C111" s="3">
        <v>129</v>
      </c>
      <c r="D111" s="4">
        <f t="shared" si="6"/>
        <v>0.12671905697445973</v>
      </c>
      <c r="E111" s="4">
        <f t="shared" si="7"/>
        <v>2.6635615991222839</v>
      </c>
      <c r="F111" s="4">
        <f t="shared" si="8"/>
        <v>0.10767737267947088</v>
      </c>
      <c r="G111" s="4">
        <f t="shared" si="9"/>
        <v>0.14856743082040624</v>
      </c>
      <c r="H111" s="4">
        <f t="shared" si="10"/>
        <v>2.4286432087173528</v>
      </c>
      <c r="I111" s="3">
        <f t="shared" si="11"/>
        <v>2.8930459756102134</v>
      </c>
    </row>
    <row r="112" spans="1:9" x14ac:dyDescent="0.25">
      <c r="A112" s="3" t="s">
        <v>113</v>
      </c>
      <c r="B112" s="3">
        <v>221</v>
      </c>
      <c r="C112" s="3">
        <v>42</v>
      </c>
      <c r="D112" s="4">
        <f t="shared" si="6"/>
        <v>0.19004524886877827</v>
      </c>
      <c r="E112" s="4">
        <f t="shared" si="7"/>
        <v>3.2482710531620533</v>
      </c>
      <c r="F112" s="4">
        <f t="shared" si="8"/>
        <v>0.1437849834160658</v>
      </c>
      <c r="G112" s="4">
        <f t="shared" si="9"/>
        <v>0.24689716792959265</v>
      </c>
      <c r="H112" s="4">
        <f t="shared" si="10"/>
        <v>2.845841106669984</v>
      </c>
      <c r="I112" s="3">
        <f t="shared" si="11"/>
        <v>3.6258383828165561</v>
      </c>
    </row>
    <row r="113" spans="1:9" x14ac:dyDescent="0.25">
      <c r="A113" s="3" t="s">
        <v>114</v>
      </c>
      <c r="B113" s="3">
        <v>180</v>
      </c>
      <c r="C113" s="3">
        <v>15</v>
      </c>
      <c r="D113" s="4">
        <f t="shared" si="6"/>
        <v>8.3333333333333329E-2</v>
      </c>
      <c r="E113" s="4">
        <f t="shared" si="7"/>
        <v>2.0588936890535683</v>
      </c>
      <c r="F113" s="4">
        <f t="shared" si="8"/>
        <v>5.1149406341595788E-2</v>
      </c>
      <c r="G113" s="4">
        <f t="shared" si="9"/>
        <v>0.13293080183761938</v>
      </c>
      <c r="H113" s="4">
        <f t="shared" si="10"/>
        <v>1.3547174956303116</v>
      </c>
      <c r="I113" s="3">
        <f t="shared" si="11"/>
        <v>2.7326035298971409</v>
      </c>
    </row>
    <row r="114" spans="1:9" x14ac:dyDescent="0.25">
      <c r="A114" s="3" t="s">
        <v>115</v>
      </c>
      <c r="B114" s="3">
        <v>105</v>
      </c>
      <c r="C114" s="3">
        <v>9</v>
      </c>
      <c r="D114" s="4">
        <f t="shared" si="6"/>
        <v>8.5714285714285715E-2</v>
      </c>
      <c r="E114" s="4">
        <f t="shared" si="7"/>
        <v>2.0995356735509145</v>
      </c>
      <c r="F114" s="4">
        <f t="shared" si="8"/>
        <v>4.5748960070996485E-2</v>
      </c>
      <c r="G114" s="4">
        <f t="shared" si="9"/>
        <v>0.15492431191324479</v>
      </c>
      <c r="H114" s="4">
        <f t="shared" si="10"/>
        <v>1.1937389495722444</v>
      </c>
      <c r="I114" s="3">
        <f t="shared" si="11"/>
        <v>2.9534916555702666</v>
      </c>
    </row>
    <row r="115" spans="1:9" x14ac:dyDescent="0.25">
      <c r="A115" s="3" t="s">
        <v>116</v>
      </c>
      <c r="B115" s="3">
        <v>477</v>
      </c>
      <c r="C115" s="3">
        <v>94</v>
      </c>
      <c r="D115" s="4">
        <f t="shared" si="6"/>
        <v>0.1970649895178197</v>
      </c>
      <c r="E115" s="4">
        <f t="shared" si="7"/>
        <v>3.3005995854468506</v>
      </c>
      <c r="F115" s="4">
        <f t="shared" si="8"/>
        <v>0.16384801406494093</v>
      </c>
      <c r="G115" s="4">
        <f t="shared" si="9"/>
        <v>0.23512245770788401</v>
      </c>
      <c r="H115" s="4">
        <f t="shared" si="10"/>
        <v>3.0342862815548859</v>
      </c>
      <c r="I115" s="3">
        <f t="shared" si="11"/>
        <v>3.555340439392634</v>
      </c>
    </row>
    <row r="116" spans="1:9" x14ac:dyDescent="0.25">
      <c r="A116" s="3" t="s">
        <v>117</v>
      </c>
      <c r="B116" s="3">
        <v>17</v>
      </c>
      <c r="C116" s="3">
        <v>1</v>
      </c>
      <c r="D116" s="4">
        <f t="shared" si="6"/>
        <v>5.8823529411764705E-2</v>
      </c>
      <c r="E116" s="4">
        <f t="shared" si="7"/>
        <v>1.556393348524385</v>
      </c>
      <c r="F116" s="4">
        <f t="shared" si="8"/>
        <v>1.0460130645164236E-2</v>
      </c>
      <c r="G116" s="4">
        <f t="shared" si="9"/>
        <v>0.26982545203562797</v>
      </c>
      <c r="H116" s="4">
        <f t="shared" si="10"/>
        <v>-0.93509912929913164</v>
      </c>
      <c r="I116" s="3">
        <f t="shared" si="11"/>
        <v>3.7539545358113888</v>
      </c>
    </row>
    <row r="117" spans="1:9" x14ac:dyDescent="0.25">
      <c r="A117" s="3" t="s">
        <v>118</v>
      </c>
      <c r="B117" s="3">
        <v>1898</v>
      </c>
      <c r="C117" s="3">
        <v>219</v>
      </c>
      <c r="D117" s="4">
        <f t="shared" si="6"/>
        <v>0.11538461538461539</v>
      </c>
      <c r="E117" s="4">
        <f t="shared" si="7"/>
        <v>2.5283789723547887</v>
      </c>
      <c r="F117" s="4">
        <f t="shared" si="8"/>
        <v>0.10178164764956477</v>
      </c>
      <c r="G117" s="4">
        <f t="shared" si="9"/>
        <v>0.13054138072461741</v>
      </c>
      <c r="H117" s="4">
        <f t="shared" si="10"/>
        <v>2.3474055459684435</v>
      </c>
      <c r="I117" s="3">
        <f t="shared" si="11"/>
        <v>2.7064352986402636</v>
      </c>
    </row>
    <row r="118" spans="1:9" x14ac:dyDescent="0.25">
      <c r="A118" s="3" t="s">
        <v>119</v>
      </c>
      <c r="B118" s="3">
        <v>26</v>
      </c>
      <c r="C118" s="3">
        <v>1</v>
      </c>
      <c r="D118" s="4">
        <f t="shared" si="6"/>
        <v>3.8461538461538464E-2</v>
      </c>
      <c r="E118" s="4">
        <f t="shared" si="7"/>
        <v>0.94341647163363263</v>
      </c>
      <c r="F118" s="4">
        <f t="shared" si="8"/>
        <v>6.8218089769898817E-3</v>
      </c>
      <c r="G118" s="4">
        <f t="shared" si="9"/>
        <v>0.18893176991958402</v>
      </c>
      <c r="H118" s="4">
        <f t="shared" si="10"/>
        <v>-1.5517737374452565</v>
      </c>
      <c r="I118" s="3">
        <f t="shared" si="11"/>
        <v>3.2397934141444638</v>
      </c>
    </row>
    <row r="119" spans="1:9" x14ac:dyDescent="0.25">
      <c r="A119" s="3" t="s">
        <v>120</v>
      </c>
      <c r="B119" s="3">
        <v>497</v>
      </c>
      <c r="C119" s="3">
        <v>44</v>
      </c>
      <c r="D119" s="4">
        <f t="shared" si="6"/>
        <v>8.8531187122736416E-2</v>
      </c>
      <c r="E119" s="4">
        <f t="shared" si="7"/>
        <v>2.1461857668497357</v>
      </c>
      <c r="F119" s="4">
        <f t="shared" si="8"/>
        <v>6.6609338999531226E-2</v>
      </c>
      <c r="G119" s="4">
        <f t="shared" si="9"/>
        <v>0.1167652049680625</v>
      </c>
      <c r="H119" s="4">
        <f t="shared" si="10"/>
        <v>1.7357244653408117</v>
      </c>
      <c r="I119" s="3">
        <f t="shared" si="11"/>
        <v>2.5455385223701845</v>
      </c>
    </row>
    <row r="120" spans="1:9" x14ac:dyDescent="0.25">
      <c r="A120" s="3" t="s">
        <v>121</v>
      </c>
      <c r="B120" s="3">
        <v>150</v>
      </c>
      <c r="C120" s="3">
        <v>9</v>
      </c>
      <c r="D120" s="4">
        <f t="shared" si="6"/>
        <v>0.06</v>
      </c>
      <c r="E120" s="4">
        <f t="shared" si="7"/>
        <v>1.5849625007211563</v>
      </c>
      <c r="F120" s="4">
        <f t="shared" si="8"/>
        <v>3.1883682005327783E-2</v>
      </c>
      <c r="G120" s="4">
        <f t="shared" si="9"/>
        <v>0.11009092044290468</v>
      </c>
      <c r="H120" s="4">
        <f t="shared" si="10"/>
        <v>0.67281824488964992</v>
      </c>
      <c r="I120" s="3">
        <f t="shared" si="11"/>
        <v>2.4606235849327871</v>
      </c>
    </row>
    <row r="121" spans="1:9" x14ac:dyDescent="0.25">
      <c r="A121" s="3" t="s">
        <v>122</v>
      </c>
      <c r="B121" s="3">
        <v>209</v>
      </c>
      <c r="C121" s="3">
        <v>17</v>
      </c>
      <c r="D121" s="4">
        <f t="shared" si="6"/>
        <v>8.1339712918660281E-2</v>
      </c>
      <c r="E121" s="4">
        <f t="shared" si="7"/>
        <v>2.0239598989441814</v>
      </c>
      <c r="F121" s="4">
        <f t="shared" si="8"/>
        <v>5.140224754975594E-2</v>
      </c>
      <c r="G121" s="4">
        <f t="shared" si="9"/>
        <v>0.1263900637277387</v>
      </c>
      <c r="H121" s="4">
        <f t="shared" si="10"/>
        <v>1.3618314422595552</v>
      </c>
      <c r="I121" s="3">
        <f t="shared" si="11"/>
        <v>2.6598111440496757</v>
      </c>
    </row>
    <row r="122" spans="1:9" x14ac:dyDescent="0.25">
      <c r="A122" s="3" t="s">
        <v>123</v>
      </c>
      <c r="B122" s="3">
        <v>3151</v>
      </c>
      <c r="C122" s="3">
        <v>332</v>
      </c>
      <c r="D122" s="4">
        <f t="shared" si="6"/>
        <v>0.10536337670580768</v>
      </c>
      <c r="E122" s="4">
        <f t="shared" si="7"/>
        <v>2.3973015821041099</v>
      </c>
      <c r="F122" s="4">
        <f t="shared" si="8"/>
        <v>9.511954678140877E-2</v>
      </c>
      <c r="G122" s="4">
        <f t="shared" si="9"/>
        <v>0.11656829199946694</v>
      </c>
      <c r="H122" s="4">
        <f t="shared" si="10"/>
        <v>2.2497418410531678</v>
      </c>
      <c r="I122" s="3">
        <f t="shared" si="11"/>
        <v>2.5431035061002336</v>
      </c>
    </row>
    <row r="123" spans="1:9" x14ac:dyDescent="0.25">
      <c r="A123" s="3" t="s">
        <v>124</v>
      </c>
      <c r="B123" s="3">
        <v>16</v>
      </c>
      <c r="C123" s="3">
        <v>9</v>
      </c>
      <c r="D123" s="4">
        <f t="shared" si="6"/>
        <v>0.5625</v>
      </c>
      <c r="E123" s="4">
        <f t="shared" si="7"/>
        <v>4.8137811912170374</v>
      </c>
      <c r="F123" s="4">
        <f t="shared" si="8"/>
        <v>0.33178195606776523</v>
      </c>
      <c r="G123" s="4">
        <f t="shared" si="9"/>
        <v>0.76901636664814488</v>
      </c>
      <c r="H123" s="4">
        <f t="shared" si="10"/>
        <v>4.0521635224728456</v>
      </c>
      <c r="I123" s="3">
        <f t="shared" si="11"/>
        <v>5.2649423976659468</v>
      </c>
    </row>
    <row r="124" spans="1:9" x14ac:dyDescent="0.25">
      <c r="A124" s="3" t="s">
        <v>125</v>
      </c>
      <c r="B124" s="3">
        <v>2547</v>
      </c>
      <c r="C124" s="3">
        <v>281</v>
      </c>
      <c r="D124" s="4">
        <f t="shared" si="6"/>
        <v>0.11032587357675697</v>
      </c>
      <c r="E124" s="4">
        <f t="shared" si="7"/>
        <v>2.463699265721456</v>
      </c>
      <c r="F124" s="4">
        <f t="shared" si="8"/>
        <v>9.8740394908816059E-2</v>
      </c>
      <c r="G124" s="4">
        <f t="shared" si="9"/>
        <v>0.12308506065847589</v>
      </c>
      <c r="H124" s="4">
        <f t="shared" si="10"/>
        <v>2.3036404150997836</v>
      </c>
      <c r="I124" s="3">
        <f t="shared" si="11"/>
        <v>2.6215837614874657</v>
      </c>
    </row>
    <row r="125" spans="1:9" x14ac:dyDescent="0.25">
      <c r="A125" s="3" t="s">
        <v>126</v>
      </c>
      <c r="B125" s="3">
        <v>705</v>
      </c>
      <c r="C125" s="3">
        <v>85</v>
      </c>
      <c r="D125" s="4">
        <f t="shared" si="6"/>
        <v>0.12056737588652482</v>
      </c>
      <c r="E125" s="4">
        <f t="shared" si="7"/>
        <v>2.5917676786262702</v>
      </c>
      <c r="F125" s="4">
        <f t="shared" si="8"/>
        <v>9.8564055113334575E-2</v>
      </c>
      <c r="G125" s="4">
        <f t="shared" si="9"/>
        <v>0.14668340214651021</v>
      </c>
      <c r="H125" s="4">
        <f t="shared" si="10"/>
        <v>2.3010616124811736</v>
      </c>
      <c r="I125" s="3">
        <f t="shared" si="11"/>
        <v>2.8746337280278826</v>
      </c>
    </row>
    <row r="126" spans="1:9" x14ac:dyDescent="0.25">
      <c r="A126" s="3" t="s">
        <v>127</v>
      </c>
      <c r="B126" s="3">
        <v>3893</v>
      </c>
      <c r="C126" s="3">
        <v>429</v>
      </c>
      <c r="D126" s="4">
        <f t="shared" si="6"/>
        <v>0.11019779090675572</v>
      </c>
      <c r="E126" s="4">
        <f t="shared" si="7"/>
        <v>2.4620233979269868</v>
      </c>
      <c r="F126" s="4">
        <f t="shared" si="8"/>
        <v>0.10074276395789231</v>
      </c>
      <c r="G126" s="4">
        <f t="shared" si="9"/>
        <v>0.12042137060687932</v>
      </c>
      <c r="H126" s="4">
        <f t="shared" si="10"/>
        <v>2.3326043130255134</v>
      </c>
      <c r="I126" s="3">
        <f t="shared" si="11"/>
        <v>2.5900195379207296</v>
      </c>
    </row>
    <row r="127" spans="1:9" x14ac:dyDescent="0.25">
      <c r="A127" s="3" t="s">
        <v>128</v>
      </c>
      <c r="B127" s="3">
        <v>560</v>
      </c>
      <c r="C127" s="3">
        <v>87</v>
      </c>
      <c r="D127" s="4">
        <f t="shared" si="6"/>
        <v>0.15535714285714286</v>
      </c>
      <c r="E127" s="4">
        <f t="shared" si="7"/>
        <v>2.9575166686784868</v>
      </c>
      <c r="F127" s="4">
        <f t="shared" si="8"/>
        <v>0.12771263973758137</v>
      </c>
      <c r="G127" s="4">
        <f t="shared" si="9"/>
        <v>0.18769792947192707</v>
      </c>
      <c r="H127" s="4">
        <f t="shared" si="10"/>
        <v>2.6748294107214416</v>
      </c>
      <c r="I127" s="3">
        <f t="shared" si="11"/>
        <v>3.2303408305273349</v>
      </c>
    </row>
    <row r="128" spans="1:9" x14ac:dyDescent="0.25">
      <c r="A128" s="3" t="s">
        <v>129</v>
      </c>
      <c r="B128" s="3">
        <v>37</v>
      </c>
      <c r="C128" s="3">
        <v>0</v>
      </c>
      <c r="D128" s="4" t="str">
        <f t="shared" si="6"/>
        <v>NaN</v>
      </c>
      <c r="E128" s="4" t="str">
        <f t="shared" si="7"/>
        <v>NaN</v>
      </c>
      <c r="F128" s="4" t="str">
        <f t="shared" si="8"/>
        <v>NaN</v>
      </c>
      <c r="G128" s="4" t="str">
        <f t="shared" si="9"/>
        <v>NaN</v>
      </c>
      <c r="H128" s="4" t="str">
        <f t="shared" si="10"/>
        <v>NaN</v>
      </c>
      <c r="I128" s="3" t="str">
        <f t="shared" si="11"/>
        <v>NaN</v>
      </c>
    </row>
    <row r="129" spans="1:9" x14ac:dyDescent="0.25">
      <c r="A129" s="3" t="s">
        <v>130</v>
      </c>
      <c r="B129" s="3">
        <v>229</v>
      </c>
      <c r="C129" s="3">
        <v>23</v>
      </c>
      <c r="D129" s="4">
        <f t="shared" si="6"/>
        <v>0.10043668122270742</v>
      </c>
      <c r="E129" s="4">
        <f t="shared" si="7"/>
        <v>2.3282143577347933</v>
      </c>
      <c r="F129" s="4">
        <f t="shared" si="8"/>
        <v>6.7861288931180916E-2</v>
      </c>
      <c r="G129" s="4">
        <f t="shared" si="9"/>
        <v>0.14619668009153663</v>
      </c>
      <c r="H129" s="4">
        <f t="shared" si="10"/>
        <v>1.7625888323029864</v>
      </c>
      <c r="I129" s="3">
        <f t="shared" si="11"/>
        <v>2.8698386450979698</v>
      </c>
    </row>
    <row r="130" spans="1:9" x14ac:dyDescent="0.25">
      <c r="A130" s="3" t="s">
        <v>131</v>
      </c>
      <c r="B130" s="3">
        <v>38</v>
      </c>
      <c r="C130" s="3">
        <v>3</v>
      </c>
      <c r="D130" s="4">
        <f t="shared" si="6"/>
        <v>7.8947368421052627E-2</v>
      </c>
      <c r="E130" s="4">
        <f t="shared" si="7"/>
        <v>1.9808911770522952</v>
      </c>
      <c r="F130" s="4">
        <f t="shared" si="8"/>
        <v>2.7214101394264924E-2</v>
      </c>
      <c r="G130" s="4">
        <f t="shared" si="9"/>
        <v>0.20799678920265291</v>
      </c>
      <c r="H130" s="4">
        <f t="shared" si="10"/>
        <v>0.44435439926560916</v>
      </c>
      <c r="I130" s="3">
        <f t="shared" si="11"/>
        <v>3.3784893528827546</v>
      </c>
    </row>
    <row r="131" spans="1:9" x14ac:dyDescent="0.25">
      <c r="A131" s="3" t="s">
        <v>132</v>
      </c>
      <c r="B131" s="3">
        <v>214</v>
      </c>
      <c r="C131" s="3">
        <v>33</v>
      </c>
      <c r="D131" s="4">
        <f t="shared" ref="D131:D194" si="12">IF(C131=0,"NaN",C131/B131)</f>
        <v>0.1542056074766355</v>
      </c>
      <c r="E131" s="4">
        <f t="shared" ref="E131:E194" si="13">IF(C131=0,"NaN",LN(D131/0.02)/LN(2))</f>
        <v>2.9467833227320308</v>
      </c>
      <c r="F131" s="4">
        <f t="shared" ref="F131:F194" si="14">IF(C131=0,"NaN",_xlfn.LET(_xlpm.N,B131,_xlpm.X,C131,_xlpm.p,_xlpm.X/_xlpm.N,_xlpm.z,1.96,(_xlpm.p+_xlpm.z^2/(2*_xlpm.N)-_xlpm.z*SQRT(_xlpm.p*(1-_xlpm.p)/_xlpm.N+_xlpm.z^2/(4*_xlpm.N^2)))/(1+_xlpm.z^2/_xlpm.N))
)</f>
        <v>0.1119587194923755</v>
      </c>
      <c r="G131" s="4">
        <f t="shared" ref="G131:G194" si="15">IF(C131=0,"NaN",_xlfn.LET(_xlpm.N,B131,_xlpm.X,C131,_xlpm.p,_xlpm.X/_xlpm.N,_xlpm.z,1.96,(_xlpm.p+_xlpm.z^2/(2*_xlpm.N)+_xlpm.z*SQRT(_xlpm.p*(1-_xlpm.p)/_xlpm.N+_xlpm.z^2/(4*_xlpm.N^2)))/(1+_xlpm.z^2/_xlpm.N)))</f>
        <v>0.20864854743919309</v>
      </c>
      <c r="H131" s="4">
        <f t="shared" ref="H131:H194" si="16">IF(C131=0,"NaN",LN(F131/0.02)/LN(2))</f>
        <v>2.4848949864413368</v>
      </c>
      <c r="I131" s="3">
        <f t="shared" ref="I131:I194" si="17">IF(C131=0,"NaN",LN(G131/0.02)/LN(2))</f>
        <v>3.3830029718291104</v>
      </c>
    </row>
    <row r="132" spans="1:9" x14ac:dyDescent="0.25">
      <c r="A132" s="3" t="s">
        <v>133</v>
      </c>
      <c r="B132" s="3">
        <v>30</v>
      </c>
      <c r="C132" s="3">
        <v>0</v>
      </c>
      <c r="D132" s="4" t="str">
        <f t="shared" si="12"/>
        <v>NaN</v>
      </c>
      <c r="E132" s="4" t="str">
        <f t="shared" si="13"/>
        <v>NaN</v>
      </c>
      <c r="F132" s="4" t="str">
        <f t="shared" si="14"/>
        <v>NaN</v>
      </c>
      <c r="G132" s="4" t="str">
        <f t="shared" si="15"/>
        <v>NaN</v>
      </c>
      <c r="H132" s="4" t="str">
        <f t="shared" si="16"/>
        <v>NaN</v>
      </c>
      <c r="I132" s="3" t="str">
        <f t="shared" si="17"/>
        <v>NaN</v>
      </c>
    </row>
    <row r="133" spans="1:9" x14ac:dyDescent="0.25">
      <c r="A133" s="3" t="s">
        <v>134</v>
      </c>
      <c r="B133" s="3">
        <v>63</v>
      </c>
      <c r="C133" s="3">
        <v>11</v>
      </c>
      <c r="D133" s="4">
        <f t="shared" si="12"/>
        <v>0.17460317460317459</v>
      </c>
      <c r="E133" s="4">
        <f t="shared" si="13"/>
        <v>3.1260078849121054</v>
      </c>
      <c r="F133" s="4">
        <f t="shared" si="14"/>
        <v>0.10039293923176863</v>
      </c>
      <c r="G133" s="4">
        <f t="shared" si="15"/>
        <v>0.28621659734425586</v>
      </c>
      <c r="H133" s="4">
        <f t="shared" si="16"/>
        <v>2.3275859010931779</v>
      </c>
      <c r="I133" s="3">
        <f t="shared" si="17"/>
        <v>3.839035429467557</v>
      </c>
    </row>
    <row r="134" spans="1:9" x14ac:dyDescent="0.25">
      <c r="A134" s="3" t="s">
        <v>135</v>
      </c>
      <c r="B134" s="3">
        <v>40</v>
      </c>
      <c r="C134" s="3">
        <v>5</v>
      </c>
      <c r="D134" s="4">
        <f t="shared" si="12"/>
        <v>0.125</v>
      </c>
      <c r="E134" s="4">
        <f t="shared" si="13"/>
        <v>2.6438561897747248</v>
      </c>
      <c r="F134" s="4">
        <f t="shared" si="14"/>
        <v>5.4594197735412832E-2</v>
      </c>
      <c r="G134" s="4">
        <f t="shared" si="15"/>
        <v>0.26112420670238146</v>
      </c>
      <c r="H134" s="4">
        <f t="shared" si="16"/>
        <v>1.4487476298418476</v>
      </c>
      <c r="I134" s="3">
        <f t="shared" si="17"/>
        <v>3.7066642992662806</v>
      </c>
    </row>
    <row r="135" spans="1:9" x14ac:dyDescent="0.25">
      <c r="A135" s="3" t="s">
        <v>136</v>
      </c>
      <c r="B135" s="3">
        <v>20</v>
      </c>
      <c r="C135" s="3">
        <v>3</v>
      </c>
      <c r="D135" s="4">
        <f t="shared" si="12"/>
        <v>0.15</v>
      </c>
      <c r="E135" s="4">
        <f t="shared" si="13"/>
        <v>2.9068905956085187</v>
      </c>
      <c r="F135" s="4">
        <f t="shared" si="14"/>
        <v>5.236779195949582E-2</v>
      </c>
      <c r="G135" s="4">
        <f t="shared" si="15"/>
        <v>0.36042329588695743</v>
      </c>
      <c r="H135" s="4">
        <f t="shared" si="16"/>
        <v>1.3886797761402907</v>
      </c>
      <c r="I135" s="3">
        <f t="shared" si="17"/>
        <v>4.1716203573551631</v>
      </c>
    </row>
    <row r="136" spans="1:9" x14ac:dyDescent="0.25">
      <c r="A136" s="3" t="s">
        <v>137</v>
      </c>
      <c r="B136" s="3">
        <v>94</v>
      </c>
      <c r="C136" s="3">
        <v>15</v>
      </c>
      <c r="D136" s="4">
        <f t="shared" si="12"/>
        <v>0.15957446808510639</v>
      </c>
      <c r="E136" s="4">
        <f t="shared" si="13"/>
        <v>2.9961579337056059</v>
      </c>
      <c r="F136" s="4">
        <f t="shared" si="14"/>
        <v>9.9155263475912941E-2</v>
      </c>
      <c r="G136" s="4">
        <f t="shared" si="15"/>
        <v>0.24672624295897772</v>
      </c>
      <c r="H136" s="4">
        <f t="shared" si="16"/>
        <v>2.3096893573159281</v>
      </c>
      <c r="I136" s="3">
        <f t="shared" si="17"/>
        <v>3.6248392704896841</v>
      </c>
    </row>
    <row r="137" spans="1:9" x14ac:dyDescent="0.25">
      <c r="A137" s="3" t="s">
        <v>138</v>
      </c>
      <c r="B137" s="3">
        <v>71</v>
      </c>
      <c r="C137" s="3">
        <v>11</v>
      </c>
      <c r="D137" s="4">
        <f t="shared" si="12"/>
        <v>0.15492957746478872</v>
      </c>
      <c r="E137" s="4">
        <f t="shared" si="13"/>
        <v>2.9535406889073399</v>
      </c>
      <c r="F137" s="4">
        <f t="shared" si="14"/>
        <v>8.8772132993116051E-2</v>
      </c>
      <c r="G137" s="4">
        <f t="shared" si="15"/>
        <v>0.25651177328360708</v>
      </c>
      <c r="H137" s="4">
        <f t="shared" si="16"/>
        <v>2.1501068623608051</v>
      </c>
      <c r="I137" s="3">
        <f t="shared" si="17"/>
        <v>3.68095313852896</v>
      </c>
    </row>
    <row r="138" spans="1:9" x14ac:dyDescent="0.25">
      <c r="A138" s="3" t="s">
        <v>139</v>
      </c>
      <c r="B138" s="3">
        <v>401</v>
      </c>
      <c r="C138" s="3">
        <v>33</v>
      </c>
      <c r="D138" s="4">
        <f t="shared" si="12"/>
        <v>8.2294264339152115E-2</v>
      </c>
      <c r="E138" s="4">
        <f t="shared" si="13"/>
        <v>2.0407918826782581</v>
      </c>
      <c r="F138" s="4">
        <f t="shared" si="14"/>
        <v>5.9195986678823448E-2</v>
      </c>
      <c r="G138" s="4">
        <f t="shared" si="15"/>
        <v>0.11331988125569709</v>
      </c>
      <c r="H138" s="4">
        <f t="shared" si="16"/>
        <v>1.5654993685091698</v>
      </c>
      <c r="I138" s="3">
        <f t="shared" si="17"/>
        <v>2.5023290899625108</v>
      </c>
    </row>
    <row r="139" spans="1:9" x14ac:dyDescent="0.25">
      <c r="A139" s="3" t="s">
        <v>140</v>
      </c>
      <c r="B139" s="3">
        <v>113</v>
      </c>
      <c r="C139" s="3">
        <v>13</v>
      </c>
      <c r="D139" s="4">
        <f t="shared" si="12"/>
        <v>0.11504424778761062</v>
      </c>
      <c r="E139" s="4">
        <f t="shared" si="13"/>
        <v>2.5241169455006291</v>
      </c>
      <c r="F139" s="4">
        <f t="shared" si="14"/>
        <v>6.8476557040876879E-2</v>
      </c>
      <c r="G139" s="4">
        <f t="shared" si="15"/>
        <v>0.18692562848208752</v>
      </c>
      <c r="H139" s="4">
        <f t="shared" si="16"/>
        <v>1.7756101657442704</v>
      </c>
      <c r="I139" s="3">
        <f t="shared" si="17"/>
        <v>3.2243924785730398</v>
      </c>
    </row>
    <row r="140" spans="1:9" x14ac:dyDescent="0.25">
      <c r="A140" s="3" t="s">
        <v>141</v>
      </c>
      <c r="B140" s="3">
        <v>115</v>
      </c>
      <c r="C140" s="3">
        <v>10</v>
      </c>
      <c r="D140" s="4">
        <f t="shared" si="12"/>
        <v>8.6956521739130432E-2</v>
      </c>
      <c r="E140" s="4">
        <f t="shared" si="13"/>
        <v>2.1202942337177118</v>
      </c>
      <c r="F140" s="4">
        <f t="shared" si="14"/>
        <v>4.7917980164869006E-2</v>
      </c>
      <c r="G140" s="4">
        <f t="shared" si="15"/>
        <v>0.15269863893147431</v>
      </c>
      <c r="H140" s="4">
        <f t="shared" si="16"/>
        <v>1.2605670970344298</v>
      </c>
      <c r="I140" s="3">
        <f t="shared" si="17"/>
        <v>2.9326152977191571</v>
      </c>
    </row>
    <row r="141" spans="1:9" x14ac:dyDescent="0.25">
      <c r="A141" s="3" t="s">
        <v>142</v>
      </c>
      <c r="B141" s="3">
        <v>194</v>
      </c>
      <c r="C141" s="3">
        <v>25</v>
      </c>
      <c r="D141" s="4">
        <f t="shared" si="12"/>
        <v>0.12886597938144329</v>
      </c>
      <c r="E141" s="4">
        <f t="shared" si="13"/>
        <v>2.6877995373623218</v>
      </c>
      <c r="F141" s="4">
        <f t="shared" si="14"/>
        <v>8.8831203720919211E-2</v>
      </c>
      <c r="G141" s="4">
        <f t="shared" si="15"/>
        <v>0.18331378499732814</v>
      </c>
      <c r="H141" s="4">
        <f t="shared" si="16"/>
        <v>2.1510665408306191</v>
      </c>
      <c r="I141" s="3">
        <f t="shared" si="17"/>
        <v>3.1962433739430351</v>
      </c>
    </row>
    <row r="142" spans="1:9" x14ac:dyDescent="0.25">
      <c r="A142" s="3" t="s">
        <v>143</v>
      </c>
      <c r="B142" s="3">
        <v>80</v>
      </c>
      <c r="C142" s="3">
        <v>9</v>
      </c>
      <c r="D142" s="4">
        <f t="shared" si="12"/>
        <v>0.1125</v>
      </c>
      <c r="E142" s="4">
        <f t="shared" si="13"/>
        <v>2.4918530963296748</v>
      </c>
      <c r="F142" s="4">
        <f t="shared" si="14"/>
        <v>6.0326186948270175E-2</v>
      </c>
      <c r="G142" s="4">
        <f t="shared" si="15"/>
        <v>0.20018410865677552</v>
      </c>
      <c r="H142" s="4">
        <f t="shared" si="16"/>
        <v>1.5927843964756203</v>
      </c>
      <c r="I142" s="3">
        <f t="shared" si="17"/>
        <v>3.3232555472229675</v>
      </c>
    </row>
    <row r="143" spans="1:9" x14ac:dyDescent="0.25">
      <c r="A143" s="3" t="s">
        <v>144</v>
      </c>
      <c r="B143" s="3">
        <v>70</v>
      </c>
      <c r="C143" s="3">
        <v>13</v>
      </c>
      <c r="D143" s="4">
        <f t="shared" si="12"/>
        <v>0.18571428571428572</v>
      </c>
      <c r="E143" s="4">
        <f t="shared" si="13"/>
        <v>3.2150128909708506</v>
      </c>
      <c r="F143" s="4">
        <f t="shared" si="14"/>
        <v>0.11187194691822096</v>
      </c>
      <c r="G143" s="4">
        <f t="shared" si="15"/>
        <v>0.29225797442692864</v>
      </c>
      <c r="H143" s="4">
        <f t="shared" si="16"/>
        <v>2.4837764054113398</v>
      </c>
      <c r="I143" s="3">
        <f t="shared" si="17"/>
        <v>3.8691704849453266</v>
      </c>
    </row>
    <row r="144" spans="1:9" x14ac:dyDescent="0.25">
      <c r="A144" s="3" t="s">
        <v>145</v>
      </c>
      <c r="B144" s="3">
        <v>2258</v>
      </c>
      <c r="C144" s="3">
        <v>212</v>
      </c>
      <c r="D144" s="4">
        <f t="shared" si="12"/>
        <v>9.3888396811337468E-2</v>
      </c>
      <c r="E144" s="4">
        <f t="shared" si="13"/>
        <v>2.2309468735649229</v>
      </c>
      <c r="F144" s="4">
        <f t="shared" si="14"/>
        <v>8.2537899866725564E-2</v>
      </c>
      <c r="G144" s="4">
        <f t="shared" si="15"/>
        <v>0.10661840533165794</v>
      </c>
      <c r="H144" s="4">
        <f t="shared" si="16"/>
        <v>2.045056730198517</v>
      </c>
      <c r="I144" s="3">
        <f t="shared" si="17"/>
        <v>2.4143846041725925</v>
      </c>
    </row>
    <row r="145" spans="1:9" x14ac:dyDescent="0.25">
      <c r="A145" s="3" t="s">
        <v>146</v>
      </c>
      <c r="B145" s="3">
        <v>19</v>
      </c>
      <c r="C145" s="3">
        <v>1</v>
      </c>
      <c r="D145" s="4">
        <f t="shared" si="12"/>
        <v>5.2631578947368418E-2</v>
      </c>
      <c r="E145" s="4">
        <f t="shared" si="13"/>
        <v>1.3959286763311392</v>
      </c>
      <c r="F145" s="4">
        <f t="shared" si="14"/>
        <v>9.3517524905299496E-3</v>
      </c>
      <c r="G145" s="4">
        <f t="shared" si="15"/>
        <v>0.24639215336545212</v>
      </c>
      <c r="H145" s="4">
        <f t="shared" si="16"/>
        <v>-1.0966913478033296</v>
      </c>
      <c r="I145" s="3">
        <f t="shared" si="17"/>
        <v>3.6228844074096171</v>
      </c>
    </row>
    <row r="146" spans="1:9" x14ac:dyDescent="0.25">
      <c r="A146" s="3" t="s">
        <v>147</v>
      </c>
      <c r="B146" s="3">
        <v>1180</v>
      </c>
      <c r="C146" s="3">
        <v>94</v>
      </c>
      <c r="D146" s="4">
        <f t="shared" si="12"/>
        <v>7.9661016949152536E-2</v>
      </c>
      <c r="E146" s="4">
        <f t="shared" si="13"/>
        <v>1.9938738972031584</v>
      </c>
      <c r="F146" s="4">
        <f t="shared" si="14"/>
        <v>6.5540512171182938E-2</v>
      </c>
      <c r="G146" s="4">
        <f t="shared" si="15"/>
        <v>9.6509545877123487E-2</v>
      </c>
      <c r="H146" s="4">
        <f t="shared" si="16"/>
        <v>1.7123869469718931</v>
      </c>
      <c r="I146" s="3">
        <f t="shared" si="17"/>
        <v>2.2706716481679954</v>
      </c>
    </row>
    <row r="147" spans="1:9" x14ac:dyDescent="0.25">
      <c r="A147" s="3" t="s">
        <v>148</v>
      </c>
      <c r="B147" s="3">
        <v>30</v>
      </c>
      <c r="C147" s="3">
        <v>3</v>
      </c>
      <c r="D147" s="4">
        <f t="shared" si="12"/>
        <v>0.1</v>
      </c>
      <c r="E147" s="4">
        <f t="shared" si="13"/>
        <v>2.3219280948873622</v>
      </c>
      <c r="F147" s="4">
        <f t="shared" si="14"/>
        <v>3.4599259959716147E-2</v>
      </c>
      <c r="G147" s="4">
        <f t="shared" si="15"/>
        <v>0.25621441315266619</v>
      </c>
      <c r="H147" s="4">
        <f t="shared" si="16"/>
        <v>0.79074118052484821</v>
      </c>
      <c r="I147" s="3">
        <f t="shared" si="17"/>
        <v>3.6792797305942235</v>
      </c>
    </row>
    <row r="148" spans="1:9" x14ac:dyDescent="0.25">
      <c r="A148" s="3" t="s">
        <v>149</v>
      </c>
      <c r="B148" s="3">
        <v>126</v>
      </c>
      <c r="C148" s="3">
        <v>8</v>
      </c>
      <c r="D148" s="4">
        <f t="shared" si="12"/>
        <v>6.3492063492063489E-2</v>
      </c>
      <c r="E148" s="4">
        <f t="shared" si="13"/>
        <v>1.6665762662748083</v>
      </c>
      <c r="F148" s="4">
        <f t="shared" si="14"/>
        <v>3.2520150215038297E-2</v>
      </c>
      <c r="G148" s="4">
        <f t="shared" si="15"/>
        <v>0.12029373994035106</v>
      </c>
      <c r="H148" s="4">
        <f t="shared" si="16"/>
        <v>0.70133392143478257</v>
      </c>
      <c r="I148" s="3">
        <f t="shared" si="17"/>
        <v>2.5884896618236124</v>
      </c>
    </row>
    <row r="149" spans="1:9" x14ac:dyDescent="0.25">
      <c r="A149" s="3" t="s">
        <v>150</v>
      </c>
      <c r="B149" s="3">
        <v>26</v>
      </c>
      <c r="C149" s="3">
        <v>6</v>
      </c>
      <c r="D149" s="4">
        <f t="shared" si="12"/>
        <v>0.23076923076923078</v>
      </c>
      <c r="E149" s="4">
        <f t="shared" si="13"/>
        <v>3.5283789723547887</v>
      </c>
      <c r="F149" s="4">
        <f t="shared" si="14"/>
        <v>0.11033699683676688</v>
      </c>
      <c r="G149" s="4">
        <f t="shared" si="15"/>
        <v>0.42051925751956787</v>
      </c>
      <c r="H149" s="4">
        <f t="shared" si="16"/>
        <v>2.4638447135898569</v>
      </c>
      <c r="I149" s="3">
        <f t="shared" si="17"/>
        <v>4.3940999645516605</v>
      </c>
    </row>
    <row r="150" spans="1:9" x14ac:dyDescent="0.25">
      <c r="A150" s="3" t="s">
        <v>151</v>
      </c>
      <c r="B150" s="3">
        <v>113</v>
      </c>
      <c r="C150" s="3">
        <v>12</v>
      </c>
      <c r="D150" s="4">
        <f t="shared" si="12"/>
        <v>0.10619469026548672</v>
      </c>
      <c r="E150" s="4">
        <f t="shared" si="13"/>
        <v>2.4086397280806935</v>
      </c>
      <c r="F150" s="4">
        <f t="shared" si="14"/>
        <v>6.1797874332203774E-2</v>
      </c>
      <c r="G150" s="4">
        <f t="shared" si="15"/>
        <v>0.17648712005335754</v>
      </c>
      <c r="H150" s="4">
        <f t="shared" si="16"/>
        <v>1.6275572144544035</v>
      </c>
      <c r="I150" s="3">
        <f t="shared" si="17"/>
        <v>3.1414909950230347</v>
      </c>
    </row>
    <row r="151" spans="1:9" x14ac:dyDescent="0.25">
      <c r="A151" s="3" t="s">
        <v>152</v>
      </c>
      <c r="B151" s="3">
        <v>15</v>
      </c>
      <c r="C151" s="3">
        <v>0</v>
      </c>
      <c r="D151" s="4" t="str">
        <f t="shared" si="12"/>
        <v>NaN</v>
      </c>
      <c r="E151" s="4" t="str">
        <f t="shared" si="13"/>
        <v>NaN</v>
      </c>
      <c r="F151" s="4" t="str">
        <f t="shared" si="14"/>
        <v>NaN</v>
      </c>
      <c r="G151" s="4" t="str">
        <f t="shared" si="15"/>
        <v>NaN</v>
      </c>
      <c r="H151" s="4" t="str">
        <f t="shared" si="16"/>
        <v>NaN</v>
      </c>
      <c r="I151" s="3" t="str">
        <f t="shared" si="17"/>
        <v>NaN</v>
      </c>
    </row>
    <row r="152" spans="1:9" x14ac:dyDescent="0.25">
      <c r="A152" s="3" t="s">
        <v>153</v>
      </c>
      <c r="B152" s="3">
        <v>73</v>
      </c>
      <c r="C152" s="3">
        <v>6</v>
      </c>
      <c r="D152" s="4">
        <f t="shared" si="12"/>
        <v>8.2191780821917804E-2</v>
      </c>
      <c r="E152" s="4">
        <f t="shared" si="13"/>
        <v>2.0389941316158633</v>
      </c>
      <c r="F152" s="4">
        <f t="shared" si="14"/>
        <v>3.8213229973420255E-2</v>
      </c>
      <c r="G152" s="4">
        <f t="shared" si="15"/>
        <v>0.16794593381286213</v>
      </c>
      <c r="H152" s="4">
        <f t="shared" si="16"/>
        <v>0.9340722066536139</v>
      </c>
      <c r="I152" s="3">
        <f t="shared" si="17"/>
        <v>3.0699249613794906</v>
      </c>
    </row>
    <row r="153" spans="1:9" x14ac:dyDescent="0.25">
      <c r="A153" s="3" t="s">
        <v>154</v>
      </c>
      <c r="B153" s="3">
        <v>138</v>
      </c>
      <c r="C153" s="3">
        <v>10</v>
      </c>
      <c r="D153" s="4">
        <f t="shared" si="12"/>
        <v>7.2463768115942032E-2</v>
      </c>
      <c r="E153" s="4">
        <f t="shared" si="13"/>
        <v>1.8572598278839181</v>
      </c>
      <c r="F153" s="4">
        <f t="shared" si="14"/>
        <v>3.983385638734277E-2</v>
      </c>
      <c r="G153" s="4">
        <f t="shared" si="15"/>
        <v>0.12825223401208868</v>
      </c>
      <c r="H153" s="4">
        <f t="shared" si="16"/>
        <v>0.99399515636732216</v>
      </c>
      <c r="I153" s="3">
        <f t="shared" si="17"/>
        <v>2.6809120510907714</v>
      </c>
    </row>
    <row r="154" spans="1:9" x14ac:dyDescent="0.25">
      <c r="A154" s="3" t="s">
        <v>155</v>
      </c>
      <c r="B154" s="3">
        <v>271</v>
      </c>
      <c r="C154" s="3">
        <v>17</v>
      </c>
      <c r="D154" s="4">
        <f t="shared" si="12"/>
        <v>6.273062730627306E-2</v>
      </c>
      <c r="E154" s="4">
        <f t="shared" si="13"/>
        <v>1.6491699896711924</v>
      </c>
      <c r="F154" s="4">
        <f t="shared" si="14"/>
        <v>3.9530958553335077E-2</v>
      </c>
      <c r="G154" s="4">
        <f t="shared" si="15"/>
        <v>9.8154166260375791E-2</v>
      </c>
      <c r="H154" s="4">
        <f t="shared" si="16"/>
        <v>0.98298293829378813</v>
      </c>
      <c r="I154" s="3">
        <f t="shared" si="17"/>
        <v>2.2950495057517344</v>
      </c>
    </row>
    <row r="155" spans="1:9" x14ac:dyDescent="0.25">
      <c r="A155" s="3" t="s">
        <v>156</v>
      </c>
      <c r="B155" s="3">
        <v>357</v>
      </c>
      <c r="C155" s="3">
        <v>50</v>
      </c>
      <c r="D155" s="4">
        <f t="shared" si="12"/>
        <v>0.14005602240896359</v>
      </c>
      <c r="E155" s="4">
        <f t="shared" si="13"/>
        <v>2.8079321155203498</v>
      </c>
      <c r="F155" s="4">
        <f t="shared" si="14"/>
        <v>0.10787530234027189</v>
      </c>
      <c r="G155" s="4">
        <f t="shared" si="15"/>
        <v>0.17990082990168696</v>
      </c>
      <c r="H155" s="4">
        <f t="shared" si="16"/>
        <v>2.4312926977140696</v>
      </c>
      <c r="I155" s="3">
        <f t="shared" si="17"/>
        <v>3.1691299367979724</v>
      </c>
    </row>
    <row r="156" spans="1:9" x14ac:dyDescent="0.25">
      <c r="A156" s="3" t="s">
        <v>157</v>
      </c>
      <c r="B156" s="3">
        <v>51</v>
      </c>
      <c r="C156" s="3">
        <v>4</v>
      </c>
      <c r="D156" s="4">
        <f t="shared" si="12"/>
        <v>7.8431372549019607E-2</v>
      </c>
      <c r="E156" s="4">
        <f t="shared" si="13"/>
        <v>1.971430847803229</v>
      </c>
      <c r="F156" s="4">
        <f t="shared" si="14"/>
        <v>3.0921696126931502E-2</v>
      </c>
      <c r="G156" s="4">
        <f t="shared" si="15"/>
        <v>0.18500198224860823</v>
      </c>
      <c r="H156" s="4">
        <f t="shared" si="16"/>
        <v>0.62861945661075247</v>
      </c>
      <c r="I156" s="3">
        <f t="shared" si="17"/>
        <v>3.2094688238176849</v>
      </c>
    </row>
    <row r="157" spans="1:9" x14ac:dyDescent="0.25">
      <c r="A157" s="3" t="s">
        <v>158</v>
      </c>
      <c r="B157" s="3">
        <v>293</v>
      </c>
      <c r="C157" s="3">
        <v>27</v>
      </c>
      <c r="D157" s="4">
        <f t="shared" si="12"/>
        <v>9.2150170648464161E-2</v>
      </c>
      <c r="E157" s="4">
        <f t="shared" si="13"/>
        <v>2.2039868375159455</v>
      </c>
      <c r="F157" s="4">
        <f t="shared" si="14"/>
        <v>6.4103729113630048E-2</v>
      </c>
      <c r="G157" s="4">
        <f t="shared" si="15"/>
        <v>0.13075305645820356</v>
      </c>
      <c r="H157" s="4">
        <f t="shared" si="16"/>
        <v>1.6804082853503037</v>
      </c>
      <c r="I157" s="3">
        <f t="shared" si="17"/>
        <v>2.7087727659144876</v>
      </c>
    </row>
    <row r="158" spans="1:9" x14ac:dyDescent="0.25">
      <c r="A158" s="3" t="s">
        <v>159</v>
      </c>
      <c r="B158" s="3">
        <v>18</v>
      </c>
      <c r="C158" s="3">
        <v>3</v>
      </c>
      <c r="D158" s="4">
        <f t="shared" si="12"/>
        <v>0.16666666666666666</v>
      </c>
      <c r="E158" s="4">
        <f t="shared" si="13"/>
        <v>3.0588936890535687</v>
      </c>
      <c r="F158" s="4">
        <f t="shared" si="14"/>
        <v>5.8364704004657555E-2</v>
      </c>
      <c r="G158" s="4">
        <f t="shared" si="15"/>
        <v>0.39222499638359237</v>
      </c>
      <c r="H158" s="4">
        <f t="shared" si="16"/>
        <v>1.545096164453573</v>
      </c>
      <c r="I158" s="3">
        <f t="shared" si="17"/>
        <v>4.2936095758776718</v>
      </c>
    </row>
    <row r="159" spans="1:9" x14ac:dyDescent="0.25">
      <c r="A159" s="3" t="s">
        <v>160</v>
      </c>
      <c r="B159" s="3">
        <v>272</v>
      </c>
      <c r="C159" s="3">
        <v>20</v>
      </c>
      <c r="D159" s="4">
        <f t="shared" si="12"/>
        <v>7.3529411764705885E-2</v>
      </c>
      <c r="E159" s="4">
        <f t="shared" si="13"/>
        <v>1.8783214434117477</v>
      </c>
      <c r="F159" s="4">
        <f t="shared" si="14"/>
        <v>4.8099835861443674E-2</v>
      </c>
      <c r="G159" s="4">
        <f t="shared" si="15"/>
        <v>0.11083775730796949</v>
      </c>
      <c r="H159" s="4">
        <f t="shared" si="16"/>
        <v>1.2660319708708836</v>
      </c>
      <c r="I159" s="3">
        <f t="shared" si="17"/>
        <v>2.4703775196121467</v>
      </c>
    </row>
    <row r="160" spans="1:9" x14ac:dyDescent="0.25">
      <c r="A160" s="3" t="s">
        <v>161</v>
      </c>
      <c r="B160" s="3">
        <v>146</v>
      </c>
      <c r="C160" s="3">
        <v>26</v>
      </c>
      <c r="D160" s="4">
        <f t="shared" si="12"/>
        <v>0.17808219178082191</v>
      </c>
      <c r="E160" s="4">
        <f t="shared" si="13"/>
        <v>3.1544713490357998</v>
      </c>
      <c r="F160" s="4">
        <f t="shared" si="14"/>
        <v>0.12452375102480433</v>
      </c>
      <c r="G160" s="4">
        <f t="shared" si="15"/>
        <v>0.24814712275123654</v>
      </c>
      <c r="H160" s="4">
        <f t="shared" si="16"/>
        <v>2.6383490357163133</v>
      </c>
      <c r="I160" s="3">
        <f t="shared" si="17"/>
        <v>3.6331238216699373</v>
      </c>
    </row>
    <row r="161" spans="1:9" x14ac:dyDescent="0.25">
      <c r="A161" s="3" t="s">
        <v>162</v>
      </c>
      <c r="B161" s="3">
        <v>174</v>
      </c>
      <c r="C161" s="3">
        <v>16</v>
      </c>
      <c r="D161" s="4">
        <f t="shared" si="12"/>
        <v>9.1954022988505746E-2</v>
      </c>
      <c r="E161" s="4">
        <f t="shared" si="13"/>
        <v>2.2009126939259964</v>
      </c>
      <c r="F161" s="4">
        <f t="shared" si="14"/>
        <v>5.7393641975025125E-2</v>
      </c>
      <c r="G161" s="4">
        <f t="shared" si="15"/>
        <v>0.14414300636821967</v>
      </c>
      <c r="H161" s="4">
        <f t="shared" si="16"/>
        <v>1.5208909250690068</v>
      </c>
      <c r="I161" s="3">
        <f t="shared" si="17"/>
        <v>2.8494289357253684</v>
      </c>
    </row>
    <row r="162" spans="1:9" x14ac:dyDescent="0.25">
      <c r="A162" s="3" t="s">
        <v>163</v>
      </c>
      <c r="B162" s="3">
        <v>945</v>
      </c>
      <c r="C162" s="3">
        <v>79</v>
      </c>
      <c r="D162" s="4">
        <f t="shared" si="12"/>
        <v>8.3597883597883602E-2</v>
      </c>
      <c r="E162" s="4">
        <f t="shared" si="13"/>
        <v>2.0634664188433929</v>
      </c>
      <c r="F162" s="4">
        <f t="shared" si="14"/>
        <v>6.7591629493268524E-2</v>
      </c>
      <c r="G162" s="4">
        <f t="shared" si="15"/>
        <v>0.10297593415486832</v>
      </c>
      <c r="H162" s="4">
        <f t="shared" si="16"/>
        <v>1.7568445950833749</v>
      </c>
      <c r="I162" s="3">
        <f t="shared" si="17"/>
        <v>2.3642353086825878</v>
      </c>
    </row>
    <row r="163" spans="1:9" x14ac:dyDescent="0.25">
      <c r="A163" s="3" t="s">
        <v>164</v>
      </c>
      <c r="B163" s="3">
        <v>31</v>
      </c>
      <c r="C163" s="3">
        <v>2</v>
      </c>
      <c r="D163" s="4">
        <f t="shared" si="12"/>
        <v>6.4516129032258063E-2</v>
      </c>
      <c r="E163" s="4">
        <f t="shared" si="13"/>
        <v>1.6896598793878495</v>
      </c>
      <c r="F163" s="4">
        <f t="shared" si="14"/>
        <v>1.7874407775063144E-2</v>
      </c>
      <c r="G163" s="4">
        <f t="shared" si="15"/>
        <v>0.20718988318746434</v>
      </c>
      <c r="H163" s="4">
        <f t="shared" si="16"/>
        <v>-0.16210455750106065</v>
      </c>
      <c r="I163" s="3">
        <f t="shared" si="17"/>
        <v>3.3728816547090879</v>
      </c>
    </row>
    <row r="164" spans="1:9" x14ac:dyDescent="0.25">
      <c r="A164" s="3" t="s">
        <v>165</v>
      </c>
      <c r="B164" s="3">
        <v>74</v>
      </c>
      <c r="C164" s="3">
        <v>7</v>
      </c>
      <c r="D164" s="4">
        <f t="shared" si="12"/>
        <v>9.45945945945946E-2</v>
      </c>
      <c r="E164" s="4">
        <f t="shared" si="13"/>
        <v>2.2417577462033793</v>
      </c>
      <c r="F164" s="4">
        <f t="shared" si="14"/>
        <v>4.6579345930590606E-2</v>
      </c>
      <c r="G164" s="4">
        <f t="shared" si="15"/>
        <v>0.1826245758798552</v>
      </c>
      <c r="H164" s="4">
        <f t="shared" si="16"/>
        <v>1.21969038129806</v>
      </c>
      <c r="I164" s="3">
        <f t="shared" si="17"/>
        <v>3.1908090174617065</v>
      </c>
    </row>
    <row r="165" spans="1:9" x14ac:dyDescent="0.25">
      <c r="A165" s="3" t="s">
        <v>166</v>
      </c>
      <c r="B165" s="3">
        <v>85</v>
      </c>
      <c r="C165" s="3">
        <v>6</v>
      </c>
      <c r="D165" s="4">
        <f t="shared" si="12"/>
        <v>7.0588235294117646E-2</v>
      </c>
      <c r="E165" s="4">
        <f t="shared" si="13"/>
        <v>1.8194277543581789</v>
      </c>
      <c r="F165" s="4">
        <f t="shared" si="14"/>
        <v>3.2750516877152358E-2</v>
      </c>
      <c r="G165" s="4">
        <f t="shared" si="15"/>
        <v>0.14556234556566722</v>
      </c>
      <c r="H165" s="4">
        <f t="shared" si="16"/>
        <v>0.71151767581711201</v>
      </c>
      <c r="I165" s="3">
        <f t="shared" si="17"/>
        <v>2.8635652986973863</v>
      </c>
    </row>
    <row r="166" spans="1:9" x14ac:dyDescent="0.25">
      <c r="A166" s="3" t="s">
        <v>167</v>
      </c>
      <c r="B166" s="3">
        <v>42</v>
      </c>
      <c r="C166" s="3">
        <v>2</v>
      </c>
      <c r="D166" s="4">
        <f t="shared" si="12"/>
        <v>4.7619047619047616E-2</v>
      </c>
      <c r="E166" s="4">
        <f t="shared" si="13"/>
        <v>1.2515387669959643</v>
      </c>
      <c r="F166" s="4">
        <f t="shared" si="14"/>
        <v>1.3157248639206373E-2</v>
      </c>
      <c r="G166" s="4">
        <f t="shared" si="15"/>
        <v>0.15790135315479731</v>
      </c>
      <c r="H166" s="4">
        <f t="shared" si="16"/>
        <v>-0.60414216666917187</v>
      </c>
      <c r="I166" s="3">
        <f t="shared" si="17"/>
        <v>2.9809516294886214</v>
      </c>
    </row>
    <row r="167" spans="1:9" x14ac:dyDescent="0.25">
      <c r="A167" s="3" t="s">
        <v>168</v>
      </c>
      <c r="B167" s="3">
        <v>25</v>
      </c>
      <c r="C167" s="3">
        <v>1</v>
      </c>
      <c r="D167" s="4">
        <f t="shared" si="12"/>
        <v>0.04</v>
      </c>
      <c r="E167" s="4">
        <f t="shared" si="13"/>
        <v>1</v>
      </c>
      <c r="F167" s="4">
        <f t="shared" si="14"/>
        <v>7.0960503866991688E-3</v>
      </c>
      <c r="G167" s="4">
        <f t="shared" si="15"/>
        <v>0.19544472405022525</v>
      </c>
      <c r="H167" s="4">
        <f t="shared" si="16"/>
        <v>-1.4949118411132483</v>
      </c>
      <c r="I167" s="3">
        <f t="shared" si="17"/>
        <v>3.2886887350821747</v>
      </c>
    </row>
    <row r="168" spans="1:9" x14ac:dyDescent="0.25">
      <c r="A168" s="3" t="s">
        <v>169</v>
      </c>
      <c r="B168" s="3">
        <v>165</v>
      </c>
      <c r="C168" s="3">
        <v>15</v>
      </c>
      <c r="D168" s="4">
        <f t="shared" si="12"/>
        <v>9.0909090909090912E-2</v>
      </c>
      <c r="E168" s="4">
        <f t="shared" si="13"/>
        <v>2.1844245711374275</v>
      </c>
      <c r="F168" s="4">
        <f t="shared" si="14"/>
        <v>5.5865856618018808E-2</v>
      </c>
      <c r="G168" s="4">
        <f t="shared" si="15"/>
        <v>0.14456815964337646</v>
      </c>
      <c r="H168" s="4">
        <f t="shared" si="16"/>
        <v>1.4819668244390354</v>
      </c>
      <c r="I168" s="3">
        <f t="shared" si="17"/>
        <v>2.8536779363686526</v>
      </c>
    </row>
    <row r="169" spans="1:9" x14ac:dyDescent="0.25">
      <c r="A169" s="3" t="s">
        <v>170</v>
      </c>
      <c r="B169" s="3">
        <v>66</v>
      </c>
      <c r="C169" s="3">
        <v>2</v>
      </c>
      <c r="D169" s="4">
        <f t="shared" si="12"/>
        <v>3.0303030303030304E-2</v>
      </c>
      <c r="E169" s="4">
        <f t="shared" si="13"/>
        <v>0.5994620704162712</v>
      </c>
      <c r="F169" s="4">
        <f t="shared" si="14"/>
        <v>8.3497350759465083E-3</v>
      </c>
      <c r="G169" s="4">
        <f t="shared" si="15"/>
        <v>0.10392718870586834</v>
      </c>
      <c r="H169" s="4">
        <f t="shared" si="16"/>
        <v>-1.2601976710349838</v>
      </c>
      <c r="I169" s="3">
        <f t="shared" si="17"/>
        <v>2.3775012263170723</v>
      </c>
    </row>
    <row r="170" spans="1:9" x14ac:dyDescent="0.25">
      <c r="A170" s="3" t="s">
        <v>171</v>
      </c>
      <c r="B170" s="3">
        <v>66</v>
      </c>
      <c r="C170" s="3">
        <v>14</v>
      </c>
      <c r="D170" s="4">
        <f t="shared" si="12"/>
        <v>0.21212121212121213</v>
      </c>
      <c r="E170" s="4">
        <f t="shared" si="13"/>
        <v>3.4068169924738756</v>
      </c>
      <c r="F170" s="4">
        <f t="shared" si="14"/>
        <v>0.13077866875683972</v>
      </c>
      <c r="G170" s="4">
        <f t="shared" si="15"/>
        <v>0.32513299420620811</v>
      </c>
      <c r="H170" s="4">
        <f t="shared" si="16"/>
        <v>2.7090553376469679</v>
      </c>
      <c r="I170" s="3">
        <f t="shared" si="17"/>
        <v>4.0229580617503311</v>
      </c>
    </row>
    <row r="171" spans="1:9" x14ac:dyDescent="0.25">
      <c r="A171" s="3" t="s">
        <v>172</v>
      </c>
      <c r="B171" s="3">
        <v>38</v>
      </c>
      <c r="C171" s="3">
        <v>4</v>
      </c>
      <c r="D171" s="4">
        <f t="shared" si="12"/>
        <v>0.10526315789473684</v>
      </c>
      <c r="E171" s="4">
        <f t="shared" si="13"/>
        <v>2.3959286763311392</v>
      </c>
      <c r="F171" s="4">
        <f t="shared" si="14"/>
        <v>4.1701897932665807E-2</v>
      </c>
      <c r="G171" s="4">
        <f t="shared" si="15"/>
        <v>0.24130831200194469</v>
      </c>
      <c r="H171" s="4">
        <f t="shared" si="16"/>
        <v>1.0601130449585487</v>
      </c>
      <c r="I171" s="3">
        <f t="shared" si="17"/>
        <v>3.5928057057475038</v>
      </c>
    </row>
    <row r="172" spans="1:9" x14ac:dyDescent="0.25">
      <c r="A172" s="3" t="s">
        <v>173</v>
      </c>
      <c r="B172" s="3">
        <v>2769</v>
      </c>
      <c r="C172" s="3">
        <v>321</v>
      </c>
      <c r="D172" s="4">
        <f t="shared" si="12"/>
        <v>0.11592632719393282</v>
      </c>
      <c r="E172" s="4">
        <f t="shared" si="13"/>
        <v>2.5351363385300973</v>
      </c>
      <c r="F172" s="4">
        <f t="shared" si="14"/>
        <v>0.10453060886253837</v>
      </c>
      <c r="G172" s="4">
        <f t="shared" si="15"/>
        <v>0.12838626601412245</v>
      </c>
      <c r="H172" s="4">
        <f t="shared" si="16"/>
        <v>2.3858535519127502</v>
      </c>
      <c r="I172" s="3">
        <f t="shared" si="17"/>
        <v>2.6824189748158975</v>
      </c>
    </row>
    <row r="173" spans="1:9" x14ac:dyDescent="0.25">
      <c r="A173" s="3" t="s">
        <v>174</v>
      </c>
      <c r="B173" s="3">
        <v>74</v>
      </c>
      <c r="C173" s="3">
        <v>11</v>
      </c>
      <c r="D173" s="4">
        <f t="shared" si="12"/>
        <v>0.14864864864864866</v>
      </c>
      <c r="E173" s="4">
        <f t="shared" si="13"/>
        <v>2.8938344427830724</v>
      </c>
      <c r="F173" s="4">
        <f t="shared" si="14"/>
        <v>8.5079723015851247E-2</v>
      </c>
      <c r="G173" s="4">
        <f t="shared" si="15"/>
        <v>0.24689700921986849</v>
      </c>
      <c r="H173" s="4">
        <f t="shared" si="16"/>
        <v>2.0888153364919528</v>
      </c>
      <c r="I173" s="3">
        <f t="shared" si="17"/>
        <v>3.6258374554272006</v>
      </c>
    </row>
    <row r="174" spans="1:9" x14ac:dyDescent="0.25">
      <c r="A174" s="3" t="s">
        <v>175</v>
      </c>
      <c r="B174" s="3">
        <v>50</v>
      </c>
      <c r="C174" s="3">
        <v>3</v>
      </c>
      <c r="D174" s="4">
        <f t="shared" si="12"/>
        <v>0.06</v>
      </c>
      <c r="E174" s="4">
        <f t="shared" si="13"/>
        <v>1.5849625007211563</v>
      </c>
      <c r="F174" s="4">
        <f t="shared" si="14"/>
        <v>2.0614596364630481E-2</v>
      </c>
      <c r="G174" s="4">
        <f t="shared" si="15"/>
        <v>0.16217343370877002</v>
      </c>
      <c r="H174" s="4">
        <f t="shared" si="16"/>
        <v>4.3666213423559343E-2</v>
      </c>
      <c r="I174" s="3">
        <f t="shared" si="17"/>
        <v>3.0194656000424467</v>
      </c>
    </row>
    <row r="175" spans="1:9" x14ac:dyDescent="0.25">
      <c r="A175" s="3" t="s">
        <v>176</v>
      </c>
      <c r="B175" s="3">
        <v>101</v>
      </c>
      <c r="C175" s="3">
        <v>5</v>
      </c>
      <c r="D175" s="4">
        <f t="shared" si="12"/>
        <v>4.9504950495049507E-2</v>
      </c>
      <c r="E175" s="4">
        <f t="shared" si="13"/>
        <v>1.3075728019102923</v>
      </c>
      <c r="F175" s="4">
        <f t="shared" si="14"/>
        <v>2.1328195361982303E-2</v>
      </c>
      <c r="G175" s="4">
        <f t="shared" si="15"/>
        <v>0.11069573407060933</v>
      </c>
      <c r="H175" s="4">
        <f t="shared" si="16"/>
        <v>9.2761900396622785E-2</v>
      </c>
      <c r="I175" s="3">
        <f t="shared" si="17"/>
        <v>2.4685277203151994</v>
      </c>
    </row>
    <row r="176" spans="1:9" x14ac:dyDescent="0.25">
      <c r="A176" s="3" t="s">
        <v>177</v>
      </c>
      <c r="B176" s="3">
        <v>71</v>
      </c>
      <c r="C176" s="3">
        <v>5</v>
      </c>
      <c r="D176" s="4">
        <f t="shared" si="12"/>
        <v>7.0422535211267609E-2</v>
      </c>
      <c r="E176" s="4">
        <f t="shared" si="13"/>
        <v>1.816037165157405</v>
      </c>
      <c r="F176" s="4">
        <f t="shared" si="14"/>
        <v>3.0453153406264533E-2</v>
      </c>
      <c r="G176" s="4">
        <f t="shared" si="15"/>
        <v>0.1544921176729214</v>
      </c>
      <c r="H176" s="4">
        <f t="shared" si="16"/>
        <v>0.6065916260963885</v>
      </c>
      <c r="I176" s="3">
        <f t="shared" si="17"/>
        <v>2.9494613272935069</v>
      </c>
    </row>
    <row r="177" spans="1:9" x14ac:dyDescent="0.25">
      <c r="A177" s="3" t="s">
        <v>178</v>
      </c>
      <c r="B177" s="3">
        <v>31</v>
      </c>
      <c r="C177" s="3">
        <v>2</v>
      </c>
      <c r="D177" s="4">
        <f t="shared" si="12"/>
        <v>6.4516129032258063E-2</v>
      </c>
      <c r="E177" s="4">
        <f t="shared" si="13"/>
        <v>1.6896598793878495</v>
      </c>
      <c r="F177" s="4">
        <f t="shared" si="14"/>
        <v>1.7874407775063144E-2</v>
      </c>
      <c r="G177" s="4">
        <f t="shared" si="15"/>
        <v>0.20718988318746434</v>
      </c>
      <c r="H177" s="4">
        <f t="shared" si="16"/>
        <v>-0.16210455750106065</v>
      </c>
      <c r="I177" s="3">
        <f t="shared" si="17"/>
        <v>3.3728816547090879</v>
      </c>
    </row>
    <row r="178" spans="1:9" x14ac:dyDescent="0.25">
      <c r="A178" s="3" t="s">
        <v>179</v>
      </c>
      <c r="B178" s="3">
        <v>558</v>
      </c>
      <c r="C178" s="3">
        <v>55</v>
      </c>
      <c r="D178" s="4">
        <f t="shared" si="12"/>
        <v>9.8566308243727599E-2</v>
      </c>
      <c r="E178" s="4">
        <f t="shared" si="13"/>
        <v>2.3010945914701968</v>
      </c>
      <c r="F178" s="4">
        <f t="shared" si="14"/>
        <v>7.6510836612954644E-2</v>
      </c>
      <c r="G178" s="4">
        <f t="shared" si="15"/>
        <v>0.12611139712694641</v>
      </c>
      <c r="H178" s="4">
        <f t="shared" si="16"/>
        <v>1.9356640984008671</v>
      </c>
      <c r="I178" s="3">
        <f t="shared" si="17"/>
        <v>2.6566267578296014</v>
      </c>
    </row>
    <row r="179" spans="1:9" x14ac:dyDescent="0.25">
      <c r="A179" s="3" t="s">
        <v>180</v>
      </c>
      <c r="B179" s="3">
        <v>40</v>
      </c>
      <c r="C179" s="3">
        <v>0</v>
      </c>
      <c r="D179" s="4" t="str">
        <f t="shared" si="12"/>
        <v>NaN</v>
      </c>
      <c r="E179" s="4" t="str">
        <f t="shared" si="13"/>
        <v>NaN</v>
      </c>
      <c r="F179" s="4" t="str">
        <f t="shared" si="14"/>
        <v>NaN</v>
      </c>
      <c r="G179" s="4" t="str">
        <f t="shared" si="15"/>
        <v>NaN</v>
      </c>
      <c r="H179" s="4" t="str">
        <f t="shared" si="16"/>
        <v>NaN</v>
      </c>
      <c r="I179" s="3" t="str">
        <f t="shared" si="17"/>
        <v>NaN</v>
      </c>
    </row>
    <row r="180" spans="1:9" x14ac:dyDescent="0.25">
      <c r="A180" s="3" t="s">
        <v>181</v>
      </c>
      <c r="B180" s="3">
        <v>1366</v>
      </c>
      <c r="C180" s="3">
        <v>127</v>
      </c>
      <c r="D180" s="4">
        <f t="shared" si="12"/>
        <v>9.2972181551976577E-2</v>
      </c>
      <c r="E180" s="4">
        <f t="shared" si="13"/>
        <v>2.2167991082568004</v>
      </c>
      <c r="F180" s="4">
        <f t="shared" si="14"/>
        <v>7.869307156504822E-2</v>
      </c>
      <c r="G180" s="4">
        <f t="shared" si="15"/>
        <v>0.10953423880426749</v>
      </c>
      <c r="H180" s="4">
        <f t="shared" si="16"/>
        <v>1.9762366210090117</v>
      </c>
      <c r="I180" s="3">
        <f t="shared" si="17"/>
        <v>2.4533100006230342</v>
      </c>
    </row>
    <row r="181" spans="1:9" x14ac:dyDescent="0.25">
      <c r="A181" s="3" t="s">
        <v>182</v>
      </c>
      <c r="B181" s="3">
        <v>654</v>
      </c>
      <c r="C181" s="3">
        <v>65</v>
      </c>
      <c r="D181" s="4">
        <f t="shared" si="12"/>
        <v>9.9388379204892963E-2</v>
      </c>
      <c r="E181" s="4">
        <f t="shared" si="13"/>
        <v>2.3130771773050971</v>
      </c>
      <c r="F181" s="4">
        <f t="shared" si="14"/>
        <v>7.8745516572336902E-2</v>
      </c>
      <c r="G181" s="4">
        <f t="shared" si="15"/>
        <v>0.12471014813479017</v>
      </c>
      <c r="H181" s="4">
        <f t="shared" si="16"/>
        <v>1.9771977850492704</v>
      </c>
      <c r="I181" s="3">
        <f t="shared" si="17"/>
        <v>2.6405069623647845</v>
      </c>
    </row>
    <row r="182" spans="1:9" x14ac:dyDescent="0.25">
      <c r="A182" s="3" t="s">
        <v>183</v>
      </c>
      <c r="B182" s="3">
        <v>778</v>
      </c>
      <c r="C182" s="3">
        <v>80</v>
      </c>
      <c r="D182" s="4">
        <f t="shared" si="12"/>
        <v>0.10282776349614396</v>
      </c>
      <c r="E182" s="4">
        <f t="shared" si="13"/>
        <v>2.3621579396758952</v>
      </c>
      <c r="F182" s="4">
        <f t="shared" si="14"/>
        <v>8.3399335914208089E-2</v>
      </c>
      <c r="G182" s="4">
        <f t="shared" si="15"/>
        <v>0.12615922428519802</v>
      </c>
      <c r="H182" s="4">
        <f t="shared" si="16"/>
        <v>2.0600358959350094</v>
      </c>
      <c r="I182" s="3">
        <f t="shared" si="17"/>
        <v>2.6571737894615044</v>
      </c>
    </row>
    <row r="183" spans="1:9" x14ac:dyDescent="0.25">
      <c r="A183" s="3" t="s">
        <v>184</v>
      </c>
      <c r="B183" s="3">
        <v>249</v>
      </c>
      <c r="C183" s="3">
        <v>21</v>
      </c>
      <c r="D183" s="4">
        <f t="shared" si="12"/>
        <v>8.4337349397590355E-2</v>
      </c>
      <c r="E183" s="4">
        <f t="shared" si="13"/>
        <v>2.076171680485404</v>
      </c>
      <c r="F183" s="4">
        <f t="shared" si="14"/>
        <v>5.5821611697042903E-2</v>
      </c>
      <c r="G183" s="4">
        <f t="shared" si="15"/>
        <v>0.12548399624089135</v>
      </c>
      <c r="H183" s="4">
        <f t="shared" si="16"/>
        <v>1.4808237788963516</v>
      </c>
      <c r="I183" s="3">
        <f t="shared" si="17"/>
        <v>2.6494314748709611</v>
      </c>
    </row>
    <row r="184" spans="1:9" x14ac:dyDescent="0.25">
      <c r="A184" s="3" t="s">
        <v>185</v>
      </c>
      <c r="B184" s="3">
        <v>106</v>
      </c>
      <c r="C184" s="3">
        <v>4</v>
      </c>
      <c r="D184" s="4">
        <f t="shared" si="12"/>
        <v>3.7735849056603772E-2</v>
      </c>
      <c r="E184" s="4">
        <f t="shared" si="13"/>
        <v>0.91593573521152538</v>
      </c>
      <c r="F184" s="4">
        <f t="shared" si="14"/>
        <v>1.4770608109942168E-2</v>
      </c>
      <c r="G184" s="4">
        <f t="shared" si="15"/>
        <v>9.3035541836890348E-2</v>
      </c>
      <c r="H184" s="4">
        <f t="shared" si="16"/>
        <v>-0.4372707765284462</v>
      </c>
      <c r="I184" s="3">
        <f t="shared" si="17"/>
        <v>2.2177819660726419</v>
      </c>
    </row>
    <row r="185" spans="1:9" x14ac:dyDescent="0.25">
      <c r="A185" s="3" t="s">
        <v>186</v>
      </c>
      <c r="B185" s="3">
        <v>156</v>
      </c>
      <c r="C185" s="3">
        <v>9</v>
      </c>
      <c r="D185" s="4">
        <f t="shared" si="12"/>
        <v>5.7692307692307696E-2</v>
      </c>
      <c r="E185" s="4">
        <f t="shared" si="13"/>
        <v>1.5283789723547889</v>
      </c>
      <c r="F185" s="4">
        <f t="shared" si="14"/>
        <v>3.0645393965407261E-2</v>
      </c>
      <c r="G185" s="4">
        <f t="shared" si="15"/>
        <v>0.1059998848606305</v>
      </c>
      <c r="H185" s="4">
        <f t="shared" si="16"/>
        <v>0.61567025164450517</v>
      </c>
      <c r="I185" s="3">
        <f t="shared" si="17"/>
        <v>2.4059907925901047</v>
      </c>
    </row>
    <row r="186" spans="1:9" x14ac:dyDescent="0.25">
      <c r="A186" s="3" t="s">
        <v>187</v>
      </c>
      <c r="B186" s="3">
        <v>1270</v>
      </c>
      <c r="C186" s="3">
        <v>130</v>
      </c>
      <c r="D186" s="4">
        <f t="shared" si="12"/>
        <v>0.10236220472440945</v>
      </c>
      <c r="E186" s="4">
        <f t="shared" si="13"/>
        <v>2.3556112211436511</v>
      </c>
      <c r="F186" s="4">
        <f t="shared" si="14"/>
        <v>8.6871907803901E-2</v>
      </c>
      <c r="G186" s="4">
        <f t="shared" si="15"/>
        <v>0.1202508616204921</v>
      </c>
      <c r="H186" s="4">
        <f t="shared" si="16"/>
        <v>2.1188897210645417</v>
      </c>
      <c r="I186" s="3">
        <f t="shared" si="17"/>
        <v>2.5879753261064442</v>
      </c>
    </row>
    <row r="187" spans="1:9" x14ac:dyDescent="0.25">
      <c r="A187" s="3" t="s">
        <v>188</v>
      </c>
      <c r="B187" s="3">
        <v>386</v>
      </c>
      <c r="C187" s="3">
        <v>21</v>
      </c>
      <c r="D187" s="4">
        <f t="shared" si="12"/>
        <v>5.4404145077720206E-2</v>
      </c>
      <c r="E187" s="4">
        <f t="shared" si="13"/>
        <v>1.4437165752854046</v>
      </c>
      <c r="F187" s="4">
        <f t="shared" si="14"/>
        <v>3.5855527922695883E-2</v>
      </c>
      <c r="G187" s="4">
        <f t="shared" si="15"/>
        <v>8.1734795942176419E-2</v>
      </c>
      <c r="H187" s="4">
        <f t="shared" si="16"/>
        <v>0.84219555942532875</v>
      </c>
      <c r="I187" s="3">
        <f t="shared" si="17"/>
        <v>2.0309503898300343</v>
      </c>
    </row>
    <row r="188" spans="1:9" x14ac:dyDescent="0.25">
      <c r="A188" s="3" t="s">
        <v>189</v>
      </c>
      <c r="B188" s="3">
        <v>263</v>
      </c>
      <c r="C188" s="3">
        <v>27</v>
      </c>
      <c r="D188" s="4">
        <f t="shared" si="12"/>
        <v>0.10266159695817491</v>
      </c>
      <c r="E188" s="4">
        <f t="shared" si="13"/>
        <v>2.3598247026458909</v>
      </c>
      <c r="F188" s="4">
        <f t="shared" si="14"/>
        <v>7.1517770018209248E-2</v>
      </c>
      <c r="G188" s="4">
        <f t="shared" si="15"/>
        <v>0.14524603292705865</v>
      </c>
      <c r="H188" s="4">
        <f t="shared" si="16"/>
        <v>1.8383017528267753</v>
      </c>
      <c r="I188" s="3">
        <f t="shared" si="17"/>
        <v>2.8604268550430327</v>
      </c>
    </row>
    <row r="189" spans="1:9" x14ac:dyDescent="0.25">
      <c r="A189" s="3" t="s">
        <v>190</v>
      </c>
      <c r="B189" s="3">
        <v>384</v>
      </c>
      <c r="C189" s="3">
        <v>26</v>
      </c>
      <c r="D189" s="4">
        <f t="shared" si="12"/>
        <v>6.7708333333333329E-2</v>
      </c>
      <c r="E189" s="4">
        <f t="shared" si="13"/>
        <v>1.7593334071946607</v>
      </c>
      <c r="F189" s="4">
        <f t="shared" si="14"/>
        <v>4.6621304526481153E-2</v>
      </c>
      <c r="G189" s="4">
        <f t="shared" si="15"/>
        <v>9.7359124597161076E-2</v>
      </c>
      <c r="H189" s="4">
        <f t="shared" si="16"/>
        <v>1.2209893735691795</v>
      </c>
      <c r="I189" s="3">
        <f t="shared" si="17"/>
        <v>2.2833161961431339</v>
      </c>
    </row>
    <row r="190" spans="1:9" x14ac:dyDescent="0.25">
      <c r="A190" s="3" t="s">
        <v>191</v>
      </c>
      <c r="B190" s="3">
        <v>126</v>
      </c>
      <c r="C190" s="3">
        <v>8</v>
      </c>
      <c r="D190" s="4">
        <f t="shared" si="12"/>
        <v>6.3492063492063489E-2</v>
      </c>
      <c r="E190" s="4">
        <f t="shared" si="13"/>
        <v>1.6665762662748083</v>
      </c>
      <c r="F190" s="4">
        <f t="shared" si="14"/>
        <v>3.2520150215038297E-2</v>
      </c>
      <c r="G190" s="4">
        <f t="shared" si="15"/>
        <v>0.12029373994035106</v>
      </c>
      <c r="H190" s="4">
        <f t="shared" si="16"/>
        <v>0.70133392143478257</v>
      </c>
      <c r="I190" s="3">
        <f t="shared" si="17"/>
        <v>2.5884896618236124</v>
      </c>
    </row>
    <row r="191" spans="1:9" x14ac:dyDescent="0.25">
      <c r="A191" s="3" t="s">
        <v>192</v>
      </c>
      <c r="B191" s="3">
        <v>122</v>
      </c>
      <c r="C191" s="3">
        <v>5</v>
      </c>
      <c r="D191" s="4">
        <f t="shared" si="12"/>
        <v>4.0983606557377046E-2</v>
      </c>
      <c r="E191" s="4">
        <f t="shared" si="13"/>
        <v>1.0350469470992008</v>
      </c>
      <c r="F191" s="4">
        <f t="shared" si="14"/>
        <v>1.7630459445038323E-2</v>
      </c>
      <c r="G191" s="4">
        <f t="shared" si="15"/>
        <v>9.2361784773089844E-2</v>
      </c>
      <c r="H191" s="4">
        <f t="shared" si="16"/>
        <v>-0.18192992860670582</v>
      </c>
      <c r="I191" s="3">
        <f t="shared" si="17"/>
        <v>2.2072960516136253</v>
      </c>
    </row>
    <row r="192" spans="1:9" x14ac:dyDescent="0.25">
      <c r="A192" s="3" t="s">
        <v>193</v>
      </c>
      <c r="B192" s="3">
        <v>7</v>
      </c>
      <c r="C192" s="3">
        <v>0</v>
      </c>
      <c r="D192" s="4" t="str">
        <f t="shared" si="12"/>
        <v>NaN</v>
      </c>
      <c r="E192" s="4" t="str">
        <f t="shared" si="13"/>
        <v>NaN</v>
      </c>
      <c r="F192" s="4" t="str">
        <f t="shared" si="14"/>
        <v>NaN</v>
      </c>
      <c r="G192" s="4" t="str">
        <f t="shared" si="15"/>
        <v>NaN</v>
      </c>
      <c r="H192" s="4" t="str">
        <f t="shared" si="16"/>
        <v>NaN</v>
      </c>
      <c r="I192" s="3" t="str">
        <f t="shared" si="17"/>
        <v>NaN</v>
      </c>
    </row>
    <row r="193" spans="1:9" x14ac:dyDescent="0.25">
      <c r="A193" s="3" t="s">
        <v>194</v>
      </c>
      <c r="B193" s="3">
        <v>1148</v>
      </c>
      <c r="C193" s="3">
        <v>92</v>
      </c>
      <c r="D193" s="4">
        <f t="shared" si="12"/>
        <v>8.0139372822299645E-2</v>
      </c>
      <c r="E193" s="4">
        <f t="shared" si="13"/>
        <v>2.0025112191560495</v>
      </c>
      <c r="F193" s="4">
        <f t="shared" si="14"/>
        <v>6.5797365986749956E-2</v>
      </c>
      <c r="G193" s="4">
        <f t="shared" si="15"/>
        <v>9.7282001870774876E-2</v>
      </c>
      <c r="H193" s="4">
        <f t="shared" si="16"/>
        <v>1.7180298308615018</v>
      </c>
      <c r="I193" s="3">
        <f t="shared" si="17"/>
        <v>2.2821729168913221</v>
      </c>
    </row>
    <row r="194" spans="1:9" x14ac:dyDescent="0.25">
      <c r="A194" s="3" t="s">
        <v>195</v>
      </c>
      <c r="B194" s="3">
        <v>223</v>
      </c>
      <c r="C194" s="3">
        <v>10</v>
      </c>
      <c r="D194" s="4">
        <f t="shared" si="12"/>
        <v>4.4843049327354258E-2</v>
      </c>
      <c r="E194" s="4">
        <f t="shared" si="13"/>
        <v>1.1648843847417822</v>
      </c>
      <c r="F194" s="4">
        <f t="shared" si="14"/>
        <v>2.4537188743409065E-2</v>
      </c>
      <c r="G194" s="4">
        <f t="shared" si="15"/>
        <v>8.056522633389597E-2</v>
      </c>
      <c r="H194" s="4">
        <f t="shared" si="16"/>
        <v>0.29496996708265238</v>
      </c>
      <c r="I194" s="3">
        <f t="shared" si="17"/>
        <v>2.0101572752193899</v>
      </c>
    </row>
    <row r="195" spans="1:9" x14ac:dyDescent="0.25">
      <c r="A195" s="3" t="s">
        <v>196</v>
      </c>
      <c r="B195" s="3">
        <v>1051</v>
      </c>
      <c r="C195" s="3">
        <v>90</v>
      </c>
      <c r="D195" s="4">
        <f t="shared" ref="D195:D241" si="18">IF(C195=0,"NaN",C195/B195)</f>
        <v>8.5632730732635581E-2</v>
      </c>
      <c r="E195" s="4">
        <f t="shared" ref="E195:E241" si="19">IF(C195=0,"NaN",LN(D195/0.02)/LN(2))</f>
        <v>2.0981623321422207</v>
      </c>
      <c r="F195" s="4">
        <f t="shared" ref="F195:F241" si="20">IF(C195=0,"NaN",_xlfn.LET(_xlpm.N,B195,_xlpm.X,C195,_xlpm.p,_xlpm.X/_xlpm.N,_xlpm.z,1.96,(_xlpm.p+_xlpm.z^2/(2*_xlpm.N)-_xlpm.z*SQRT(_xlpm.p*(1-_xlpm.p)/_xlpm.N+_xlpm.z^2/(4*_xlpm.N^2)))/(1+_xlpm.z^2/_xlpm.N))
)</f>
        <v>7.0187890916214218E-2</v>
      </c>
      <c r="G195" s="4">
        <f t="shared" ref="G195:G241" si="21">IF(C195=0,"NaN",_xlfn.LET(_xlpm.N,B195,_xlpm.X,C195,_xlpm.p,_xlpm.X/_xlpm.N,_xlpm.z,1.96,(_xlpm.p+_xlpm.z^2/(2*_xlpm.N)+_xlpm.z*SQRT(_xlpm.p*(1-_xlpm.p)/_xlpm.N+_xlpm.z^2/(4*_xlpm.N^2)))/(1+_xlpm.z^2/_xlpm.N)))</f>
        <v>0.10409571716295141</v>
      </c>
      <c r="H195" s="4">
        <f t="shared" ref="H195:H241" si="22">IF(C195=0,"NaN",LN(F195/0.02)/LN(2))</f>
        <v>1.8112221527233989</v>
      </c>
      <c r="I195" s="3">
        <f t="shared" ref="I195:I241" si="23">IF(C195=0,"NaN",LN(G195/0.02)/LN(2))</f>
        <v>2.3798388075700547</v>
      </c>
    </row>
    <row r="196" spans="1:9" x14ac:dyDescent="0.25">
      <c r="A196" s="3" t="s">
        <v>197</v>
      </c>
      <c r="B196" s="3">
        <v>74</v>
      </c>
      <c r="C196" s="3">
        <v>10</v>
      </c>
      <c r="D196" s="4">
        <f t="shared" si="18"/>
        <v>0.13513513513513514</v>
      </c>
      <c r="E196" s="4">
        <f t="shared" si="19"/>
        <v>2.7563309190331373</v>
      </c>
      <c r="F196" s="4">
        <f t="shared" si="20"/>
        <v>7.5089679004872248E-2</v>
      </c>
      <c r="G196" s="4">
        <f t="shared" si="21"/>
        <v>0.23119385062452899</v>
      </c>
      <c r="H196" s="4">
        <f t="shared" si="22"/>
        <v>1.9086146244938547</v>
      </c>
      <c r="I196" s="3">
        <f t="shared" si="23"/>
        <v>3.5310311199254287</v>
      </c>
    </row>
    <row r="197" spans="1:9" x14ac:dyDescent="0.25">
      <c r="A197" s="3" t="s">
        <v>198</v>
      </c>
      <c r="B197" s="3">
        <v>1853</v>
      </c>
      <c r="C197" s="3">
        <v>191</v>
      </c>
      <c r="D197" s="4">
        <f t="shared" si="18"/>
        <v>0.10307609282245007</v>
      </c>
      <c r="E197" s="4">
        <f t="shared" si="19"/>
        <v>2.3656378517832075</v>
      </c>
      <c r="F197" s="4">
        <f t="shared" si="20"/>
        <v>9.0042822890288754E-2</v>
      </c>
      <c r="G197" s="4">
        <f t="shared" si="21"/>
        <v>0.11775174612410644</v>
      </c>
      <c r="H197" s="4">
        <f t="shared" si="22"/>
        <v>2.170611286756321</v>
      </c>
      <c r="I197" s="3">
        <f t="shared" si="23"/>
        <v>2.557676548406195</v>
      </c>
    </row>
    <row r="198" spans="1:9" x14ac:dyDescent="0.25">
      <c r="A198" s="3" t="s">
        <v>199</v>
      </c>
      <c r="B198" s="3">
        <v>31</v>
      </c>
      <c r="C198" s="3">
        <v>4</v>
      </c>
      <c r="D198" s="4">
        <f t="shared" si="18"/>
        <v>0.12903225806451613</v>
      </c>
      <c r="E198" s="4">
        <f t="shared" si="19"/>
        <v>2.6896598793878495</v>
      </c>
      <c r="F198" s="4">
        <f t="shared" si="20"/>
        <v>5.1342011646447638E-2</v>
      </c>
      <c r="G198" s="4">
        <f t="shared" si="21"/>
        <v>0.28852756954385356</v>
      </c>
      <c r="H198" s="4">
        <f t="shared" si="22"/>
        <v>1.3601398236791562</v>
      </c>
      <c r="I198" s="3">
        <f t="shared" si="23"/>
        <v>3.8506372735288719</v>
      </c>
    </row>
    <row r="199" spans="1:9" x14ac:dyDescent="0.25">
      <c r="A199" s="3" t="s">
        <v>200</v>
      </c>
      <c r="B199" s="3">
        <v>168</v>
      </c>
      <c r="C199" s="3">
        <v>18</v>
      </c>
      <c r="D199" s="4">
        <f t="shared" si="18"/>
        <v>0.10714285714285714</v>
      </c>
      <c r="E199" s="4">
        <f t="shared" si="19"/>
        <v>2.4214637684382767</v>
      </c>
      <c r="F199" s="4">
        <f t="shared" si="20"/>
        <v>6.8853824337476957E-2</v>
      </c>
      <c r="G199" s="4">
        <f t="shared" si="21"/>
        <v>0.16299690330937924</v>
      </c>
      <c r="H199" s="4">
        <f t="shared" si="22"/>
        <v>1.7835367879765809</v>
      </c>
      <c r="I199" s="3">
        <f t="shared" si="23"/>
        <v>3.0267726506158619</v>
      </c>
    </row>
    <row r="200" spans="1:9" x14ac:dyDescent="0.25">
      <c r="A200" s="3" t="s">
        <v>201</v>
      </c>
      <c r="B200" s="3">
        <v>72</v>
      </c>
      <c r="C200" s="3">
        <v>9</v>
      </c>
      <c r="D200" s="4">
        <f t="shared" si="18"/>
        <v>0.125</v>
      </c>
      <c r="E200" s="4">
        <f t="shared" si="19"/>
        <v>2.6438561897747248</v>
      </c>
      <c r="F200" s="4">
        <f t="shared" si="20"/>
        <v>6.7177082931055565E-2</v>
      </c>
      <c r="G200" s="4">
        <f t="shared" si="21"/>
        <v>0.22081262192749171</v>
      </c>
      <c r="H200" s="4">
        <f t="shared" si="22"/>
        <v>1.7479691499595578</v>
      </c>
      <c r="I200" s="3">
        <f t="shared" si="23"/>
        <v>3.4647507356254881</v>
      </c>
    </row>
    <row r="201" spans="1:9" x14ac:dyDescent="0.25">
      <c r="A201" s="3" t="s">
        <v>202</v>
      </c>
      <c r="B201" s="3">
        <v>187</v>
      </c>
      <c r="C201" s="3">
        <v>16</v>
      </c>
      <c r="D201" s="4">
        <f t="shared" si="18"/>
        <v>8.5561497326203204E-2</v>
      </c>
      <c r="E201" s="4">
        <f t="shared" si="19"/>
        <v>2.096961729887088</v>
      </c>
      <c r="F201" s="4">
        <f t="shared" si="20"/>
        <v>5.3350791611354149E-2</v>
      </c>
      <c r="G201" s="4">
        <f t="shared" si="21"/>
        <v>0.13445731731248634</v>
      </c>
      <c r="H201" s="4">
        <f t="shared" si="22"/>
        <v>1.4155096777095331</v>
      </c>
      <c r="I201" s="3">
        <f t="shared" si="23"/>
        <v>2.7490763652575332</v>
      </c>
    </row>
    <row r="202" spans="1:9" x14ac:dyDescent="0.25">
      <c r="A202" s="3" t="s">
        <v>203</v>
      </c>
      <c r="B202" s="3">
        <v>313</v>
      </c>
      <c r="C202" s="3">
        <v>25</v>
      </c>
      <c r="D202" s="4">
        <f t="shared" si="18"/>
        <v>7.9872204472843447E-2</v>
      </c>
      <c r="E202" s="4">
        <f t="shared" si="19"/>
        <v>1.997693532616831</v>
      </c>
      <c r="F202" s="4">
        <f t="shared" si="20"/>
        <v>5.4683745793343598E-2</v>
      </c>
      <c r="G202" s="4">
        <f t="shared" si="21"/>
        <v>0.11524848532782232</v>
      </c>
      <c r="H202" s="4">
        <f t="shared" si="22"/>
        <v>1.4511120697982274</v>
      </c>
      <c r="I202" s="3">
        <f t="shared" si="23"/>
        <v>2.5266758848096633</v>
      </c>
    </row>
    <row r="203" spans="1:9" x14ac:dyDescent="0.25">
      <c r="A203" s="3" t="s">
        <v>204</v>
      </c>
      <c r="B203" s="3">
        <v>341</v>
      </c>
      <c r="C203" s="3">
        <v>17</v>
      </c>
      <c r="D203" s="4">
        <f t="shared" si="18"/>
        <v>4.9853372434017593E-2</v>
      </c>
      <c r="E203" s="4">
        <f t="shared" si="19"/>
        <v>1.3176911020008917</v>
      </c>
      <c r="F203" s="4">
        <f t="shared" si="20"/>
        <v>3.1355626728344889E-2</v>
      </c>
      <c r="G203" s="4">
        <f t="shared" si="21"/>
        <v>7.8380553593286814E-2</v>
      </c>
      <c r="H203" s="4">
        <f t="shared" si="22"/>
        <v>0.64872435609540469</v>
      </c>
      <c r="I203" s="3">
        <f t="shared" si="23"/>
        <v>1.9704957625735635</v>
      </c>
    </row>
    <row r="204" spans="1:9" x14ac:dyDescent="0.25">
      <c r="A204" s="3" t="s">
        <v>205</v>
      </c>
      <c r="B204" s="3">
        <v>921</v>
      </c>
      <c r="C204" s="3">
        <v>77</v>
      </c>
      <c r="D204" s="4">
        <f t="shared" si="18"/>
        <v>8.360477741585233E-2</v>
      </c>
      <c r="E204" s="4">
        <f t="shared" si="19"/>
        <v>2.0635853843782903</v>
      </c>
      <c r="F204" s="4">
        <f t="shared" si="20"/>
        <v>6.7411381792062658E-2</v>
      </c>
      <c r="G204" s="4">
        <f t="shared" si="21"/>
        <v>0.10325741165321486</v>
      </c>
      <c r="H204" s="4">
        <f t="shared" si="22"/>
        <v>1.7529921977671601</v>
      </c>
      <c r="I204" s="3">
        <f t="shared" si="23"/>
        <v>2.3681734346102834</v>
      </c>
    </row>
    <row r="205" spans="1:9" x14ac:dyDescent="0.25">
      <c r="A205" s="3" t="s">
        <v>206</v>
      </c>
      <c r="B205" s="3">
        <v>363</v>
      </c>
      <c r="C205" s="3">
        <v>21</v>
      </c>
      <c r="D205" s="4">
        <f t="shared" si="18"/>
        <v>5.7851239669421489E-2</v>
      </c>
      <c r="E205" s="4">
        <f t="shared" si="19"/>
        <v>1.5323478745577344</v>
      </c>
      <c r="F205" s="4">
        <f t="shared" si="20"/>
        <v>3.8145995734805899E-2</v>
      </c>
      <c r="G205" s="4">
        <f t="shared" si="21"/>
        <v>8.6816931043400311E-2</v>
      </c>
      <c r="H205" s="4">
        <f t="shared" si="22"/>
        <v>0.93153162228298436</v>
      </c>
      <c r="I205" s="3">
        <f t="shared" si="23"/>
        <v>2.1179764245866144</v>
      </c>
    </row>
    <row r="206" spans="1:9" x14ac:dyDescent="0.25">
      <c r="A206" s="3" t="s">
        <v>207</v>
      </c>
      <c r="B206" s="3">
        <v>936</v>
      </c>
      <c r="C206" s="3">
        <v>105</v>
      </c>
      <c r="D206" s="4">
        <f t="shared" si="18"/>
        <v>0.11217948717948718</v>
      </c>
      <c r="E206" s="4">
        <f t="shared" si="19"/>
        <v>2.4877369878574429</v>
      </c>
      <c r="F206" s="4">
        <f t="shared" si="20"/>
        <v>9.3525922324563845E-2</v>
      </c>
      <c r="G206" s="4">
        <f t="shared" si="21"/>
        <v>0.13400348263048389</v>
      </c>
      <c r="H206" s="4">
        <f t="shared" si="22"/>
        <v>2.2253662882715646</v>
      </c>
      <c r="I206" s="3">
        <f t="shared" si="23"/>
        <v>2.7441985904095021</v>
      </c>
    </row>
    <row r="207" spans="1:9" x14ac:dyDescent="0.25">
      <c r="A207" s="3" t="s">
        <v>208</v>
      </c>
      <c r="B207" s="3">
        <v>100</v>
      </c>
      <c r="C207" s="3">
        <v>10</v>
      </c>
      <c r="D207" s="4">
        <f t="shared" si="18"/>
        <v>0.1</v>
      </c>
      <c r="E207" s="4">
        <f t="shared" si="19"/>
        <v>2.3219280948873622</v>
      </c>
      <c r="F207" s="4">
        <f t="shared" si="20"/>
        <v>5.5228541613136131E-2</v>
      </c>
      <c r="G207" s="4">
        <f t="shared" si="21"/>
        <v>0.1743673043676654</v>
      </c>
      <c r="H207" s="4">
        <f t="shared" si="22"/>
        <v>1.4654140315321771</v>
      </c>
      <c r="I207" s="3">
        <f t="shared" si="23"/>
        <v>3.1240576404565528</v>
      </c>
    </row>
    <row r="208" spans="1:9" x14ac:dyDescent="0.25">
      <c r="A208" s="3" t="s">
        <v>209</v>
      </c>
      <c r="B208" s="3">
        <v>69</v>
      </c>
      <c r="C208" s="3">
        <v>7</v>
      </c>
      <c r="D208" s="4">
        <f t="shared" si="18"/>
        <v>0.10144927536231885</v>
      </c>
      <c r="E208" s="4">
        <f t="shared" si="19"/>
        <v>2.3426866550541598</v>
      </c>
      <c r="F208" s="4">
        <f t="shared" si="20"/>
        <v>5.0016002571615488E-2</v>
      </c>
      <c r="G208" s="4">
        <f t="shared" si="21"/>
        <v>0.19492095652867886</v>
      </c>
      <c r="H208" s="4">
        <f t="shared" si="22"/>
        <v>1.3223897576276147</v>
      </c>
      <c r="I208" s="3">
        <f t="shared" si="23"/>
        <v>3.2848173022336735</v>
      </c>
    </row>
    <row r="209" spans="1:9" x14ac:dyDescent="0.25">
      <c r="A209" s="3" t="s">
        <v>210</v>
      </c>
      <c r="B209" s="3">
        <v>230</v>
      </c>
      <c r="C209" s="3">
        <v>13</v>
      </c>
      <c r="D209" s="4">
        <f t="shared" si="18"/>
        <v>5.6521739130434782E-2</v>
      </c>
      <c r="E209" s="4">
        <f t="shared" si="19"/>
        <v>1.498805856971442</v>
      </c>
      <c r="F209" s="4">
        <f t="shared" si="20"/>
        <v>3.3325378293098867E-2</v>
      </c>
      <c r="G209" s="4">
        <f t="shared" si="21"/>
        <v>9.4289212096292929E-2</v>
      </c>
      <c r="H209" s="4">
        <f t="shared" si="22"/>
        <v>0.73662125216286423</v>
      </c>
      <c r="I209" s="3">
        <f t="shared" si="23"/>
        <v>2.2370927173957336</v>
      </c>
    </row>
    <row r="210" spans="1:9" x14ac:dyDescent="0.25">
      <c r="A210" s="3" t="s">
        <v>211</v>
      </c>
      <c r="B210" s="3">
        <v>536</v>
      </c>
      <c r="C210" s="3">
        <v>44</v>
      </c>
      <c r="D210" s="4">
        <f t="shared" si="18"/>
        <v>8.2089552238805971E-2</v>
      </c>
      <c r="E210" s="4">
        <f t="shared" si="19"/>
        <v>2.0371986179542496</v>
      </c>
      <c r="F210" s="4">
        <f t="shared" si="20"/>
        <v>6.1717099007420791E-2</v>
      </c>
      <c r="G210" s="4">
        <f t="shared" si="21"/>
        <v>0.1084098419322919</v>
      </c>
      <c r="H210" s="4">
        <f t="shared" si="22"/>
        <v>1.6256702500815376</v>
      </c>
      <c r="I210" s="3">
        <f t="shared" si="23"/>
        <v>2.4384238318593177</v>
      </c>
    </row>
    <row r="211" spans="1:9" x14ac:dyDescent="0.25">
      <c r="A211" s="3" t="s">
        <v>212</v>
      </c>
      <c r="B211" s="3">
        <v>379</v>
      </c>
      <c r="C211" s="3">
        <v>32</v>
      </c>
      <c r="D211" s="4">
        <f t="shared" si="18"/>
        <v>8.4432717678100261E-2</v>
      </c>
      <c r="E211" s="4">
        <f t="shared" si="19"/>
        <v>2.0778021516036329</v>
      </c>
      <c r="F211" s="4">
        <f t="shared" si="20"/>
        <v>6.0440861475105023E-2</v>
      </c>
      <c r="G211" s="4">
        <f t="shared" si="21"/>
        <v>0.11676454149050791</v>
      </c>
      <c r="H211" s="4">
        <f t="shared" si="22"/>
        <v>1.5955242236563585</v>
      </c>
      <c r="I211" s="3">
        <f t="shared" si="23"/>
        <v>2.5455303247354744</v>
      </c>
    </row>
    <row r="212" spans="1:9" x14ac:dyDescent="0.25">
      <c r="A212" s="3" t="s">
        <v>213</v>
      </c>
      <c r="B212" s="3">
        <v>411</v>
      </c>
      <c r="C212" s="3">
        <v>45</v>
      </c>
      <c r="D212" s="4">
        <f t="shared" si="18"/>
        <v>0.10948905109489052</v>
      </c>
      <c r="E212" s="4">
        <f t="shared" si="19"/>
        <v>2.4527147024227167</v>
      </c>
      <c r="F212" s="4">
        <f t="shared" si="20"/>
        <v>8.2840213643984195E-2</v>
      </c>
      <c r="G212" s="4">
        <f t="shared" si="21"/>
        <v>0.14337046532360251</v>
      </c>
      <c r="H212" s="4">
        <f t="shared" si="22"/>
        <v>2.050331274257593</v>
      </c>
      <c r="I212" s="3">
        <f t="shared" si="23"/>
        <v>2.8416759507283875</v>
      </c>
    </row>
    <row r="213" spans="1:9" x14ac:dyDescent="0.25">
      <c r="A213" s="3" t="s">
        <v>214</v>
      </c>
      <c r="B213" s="3">
        <v>86</v>
      </c>
      <c r="C213" s="3">
        <v>8</v>
      </c>
      <c r="D213" s="4">
        <f t="shared" si="18"/>
        <v>9.3023255813953487E-2</v>
      </c>
      <c r="E213" s="4">
        <f t="shared" si="19"/>
        <v>2.2175914350726269</v>
      </c>
      <c r="F213" s="4">
        <f t="shared" si="20"/>
        <v>4.789171128373091E-2</v>
      </c>
      <c r="G213" s="4">
        <f t="shared" si="21"/>
        <v>0.1729592085574117</v>
      </c>
      <c r="H213" s="4">
        <f t="shared" si="22"/>
        <v>1.259775987389377</v>
      </c>
      <c r="I213" s="3">
        <f t="shared" si="23"/>
        <v>3.1123599214715587</v>
      </c>
    </row>
    <row r="214" spans="1:9" x14ac:dyDescent="0.25">
      <c r="A214" s="3" t="s">
        <v>215</v>
      </c>
      <c r="B214" s="3">
        <v>99</v>
      </c>
      <c r="C214" s="3">
        <v>6</v>
      </c>
      <c r="D214" s="4">
        <f t="shared" si="18"/>
        <v>6.0606060606060608E-2</v>
      </c>
      <c r="E214" s="4">
        <f t="shared" si="19"/>
        <v>1.5994620704162712</v>
      </c>
      <c r="F214" s="4">
        <f t="shared" si="20"/>
        <v>2.8069414889737469E-2</v>
      </c>
      <c r="G214" s="4">
        <f t="shared" si="21"/>
        <v>0.12596941764495667</v>
      </c>
      <c r="H214" s="4">
        <f t="shared" si="22"/>
        <v>0.48899899101566291</v>
      </c>
      <c r="I214" s="3">
        <f t="shared" si="23"/>
        <v>2.6550016193483605</v>
      </c>
    </row>
    <row r="215" spans="1:9" x14ac:dyDescent="0.25">
      <c r="A215" s="3" t="s">
        <v>216</v>
      </c>
      <c r="B215" s="3">
        <v>246</v>
      </c>
      <c r="C215" s="3">
        <v>24</v>
      </c>
      <c r="D215" s="4">
        <f t="shared" si="18"/>
        <v>9.7560975609756101E-2</v>
      </c>
      <c r="E215" s="4">
        <f t="shared" si="19"/>
        <v>2.286304185156641</v>
      </c>
      <c r="F215" s="4">
        <f t="shared" si="20"/>
        <v>6.6438749645798462E-2</v>
      </c>
      <c r="G215" s="4">
        <f t="shared" si="21"/>
        <v>0.14105912100504595</v>
      </c>
      <c r="H215" s="4">
        <f t="shared" si="22"/>
        <v>1.7320249225359903</v>
      </c>
      <c r="I215" s="3">
        <f t="shared" si="23"/>
        <v>2.8182280497389427</v>
      </c>
    </row>
    <row r="216" spans="1:9" x14ac:dyDescent="0.25">
      <c r="A216" s="3" t="s">
        <v>217</v>
      </c>
      <c r="B216" s="3">
        <v>129</v>
      </c>
      <c r="C216" s="3">
        <v>5</v>
      </c>
      <c r="D216" s="4">
        <f t="shared" si="18"/>
        <v>3.875968992248062E-2</v>
      </c>
      <c r="E216" s="4">
        <f t="shared" si="19"/>
        <v>0.9545570292388329</v>
      </c>
      <c r="F216" s="4">
        <f t="shared" si="20"/>
        <v>1.6667257386622305E-2</v>
      </c>
      <c r="G216" s="4">
        <f t="shared" si="21"/>
        <v>8.7529018478769247E-2</v>
      </c>
      <c r="H216" s="4">
        <f t="shared" si="22"/>
        <v>-0.26298327301491059</v>
      </c>
      <c r="I216" s="3">
        <f t="shared" si="23"/>
        <v>2.1297613926584562</v>
      </c>
    </row>
    <row r="217" spans="1:9" x14ac:dyDescent="0.25">
      <c r="A217" s="3" t="s">
        <v>218</v>
      </c>
      <c r="B217" s="3">
        <v>1664</v>
      </c>
      <c r="C217" s="3">
        <v>145</v>
      </c>
      <c r="D217" s="4">
        <f t="shared" si="18"/>
        <v>8.7139423076923073E-2</v>
      </c>
      <c r="E217" s="4">
        <f t="shared" si="19"/>
        <v>2.1233255616485671</v>
      </c>
      <c r="F217" s="4">
        <f t="shared" si="20"/>
        <v>7.4521082293201008E-2</v>
      </c>
      <c r="G217" s="4">
        <f t="shared" si="21"/>
        <v>0.1016596773185031</v>
      </c>
      <c r="H217" s="4">
        <f t="shared" si="22"/>
        <v>1.8976486271471746</v>
      </c>
      <c r="I217" s="3">
        <f t="shared" si="23"/>
        <v>2.3456756514854114</v>
      </c>
    </row>
    <row r="218" spans="1:9" x14ac:dyDescent="0.25">
      <c r="A218" s="3" t="s">
        <v>219</v>
      </c>
      <c r="B218" s="3">
        <v>408</v>
      </c>
      <c r="C218" s="3">
        <v>47</v>
      </c>
      <c r="D218" s="4">
        <f t="shared" si="18"/>
        <v>0.11519607843137254</v>
      </c>
      <c r="E218" s="4">
        <f t="shared" si="19"/>
        <v>2.5260196994808664</v>
      </c>
      <c r="F218" s="4">
        <f t="shared" si="20"/>
        <v>8.7743012137635676E-2</v>
      </c>
      <c r="G218" s="4">
        <f t="shared" si="21"/>
        <v>0.1498279374701747</v>
      </c>
      <c r="H218" s="4">
        <f t="shared" si="22"/>
        <v>2.1332842336131095</v>
      </c>
      <c r="I218" s="3">
        <f t="shared" si="23"/>
        <v>2.9052347540091912</v>
      </c>
    </row>
    <row r="219" spans="1:9" x14ac:dyDescent="0.25">
      <c r="A219" s="3" t="s">
        <v>220</v>
      </c>
      <c r="B219" s="3">
        <v>392</v>
      </c>
      <c r="C219" s="3">
        <v>36</v>
      </c>
      <c r="D219" s="4">
        <f t="shared" si="18"/>
        <v>9.1836734693877556E-2</v>
      </c>
      <c r="E219" s="4">
        <f t="shared" si="19"/>
        <v>2.1990713471018291</v>
      </c>
      <c r="F219" s="4">
        <f t="shared" si="20"/>
        <v>6.7073263250054749E-2</v>
      </c>
      <c r="G219" s="4">
        <f t="shared" si="21"/>
        <v>0.12452256700123768</v>
      </c>
      <c r="H219" s="4">
        <f t="shared" si="22"/>
        <v>1.7457377937948213</v>
      </c>
      <c r="I219" s="3">
        <f t="shared" si="23"/>
        <v>2.6383353179071807</v>
      </c>
    </row>
    <row r="220" spans="1:9" x14ac:dyDescent="0.25">
      <c r="A220" s="3" t="s">
        <v>221</v>
      </c>
      <c r="B220" s="3">
        <v>7</v>
      </c>
      <c r="C220" s="3">
        <v>0</v>
      </c>
      <c r="D220" s="4" t="str">
        <f t="shared" si="18"/>
        <v>NaN</v>
      </c>
      <c r="E220" s="4" t="str">
        <f t="shared" si="19"/>
        <v>NaN</v>
      </c>
      <c r="F220" s="4" t="str">
        <f t="shared" si="20"/>
        <v>NaN</v>
      </c>
      <c r="G220" s="4" t="str">
        <f t="shared" si="21"/>
        <v>NaN</v>
      </c>
      <c r="H220" s="4" t="str">
        <f t="shared" si="22"/>
        <v>NaN</v>
      </c>
      <c r="I220" s="3" t="str">
        <f t="shared" si="23"/>
        <v>NaN</v>
      </c>
    </row>
    <row r="221" spans="1:9" x14ac:dyDescent="0.25">
      <c r="A221" s="3" t="s">
        <v>222</v>
      </c>
      <c r="B221" s="3">
        <v>87</v>
      </c>
      <c r="C221" s="3">
        <v>5</v>
      </c>
      <c r="D221" s="4">
        <f t="shared" si="18"/>
        <v>5.7471264367816091E-2</v>
      </c>
      <c r="E221" s="4">
        <f t="shared" si="19"/>
        <v>1.5228407888133588</v>
      </c>
      <c r="F221" s="4">
        <f t="shared" si="20"/>
        <v>2.4795272156794539E-2</v>
      </c>
      <c r="G221" s="4">
        <f t="shared" si="21"/>
        <v>0.1275754478657502</v>
      </c>
      <c r="H221" s="4">
        <f t="shared" si="22"/>
        <v>0.31006506068523987</v>
      </c>
      <c r="I221" s="3">
        <f t="shared" si="23"/>
        <v>2.6732788013369388</v>
      </c>
    </row>
    <row r="222" spans="1:9" x14ac:dyDescent="0.25">
      <c r="A222" s="3" t="s">
        <v>223</v>
      </c>
      <c r="B222" s="3">
        <v>114</v>
      </c>
      <c r="C222" s="3">
        <v>3</v>
      </c>
      <c r="D222" s="4">
        <f t="shared" si="18"/>
        <v>2.6315789473684209E-2</v>
      </c>
      <c r="E222" s="4">
        <f t="shared" si="19"/>
        <v>0.3959286763311391</v>
      </c>
      <c r="F222" s="4">
        <f t="shared" si="20"/>
        <v>8.9893984519457248E-3</v>
      </c>
      <c r="G222" s="4">
        <f t="shared" si="21"/>
        <v>7.4526100319286165E-2</v>
      </c>
      <c r="H222" s="4">
        <f t="shared" si="22"/>
        <v>-1.153703517460354</v>
      </c>
      <c r="I222" s="3">
        <f t="shared" si="23"/>
        <v>1.897745770631861</v>
      </c>
    </row>
    <row r="223" spans="1:9" x14ac:dyDescent="0.25">
      <c r="A223" s="3" t="s">
        <v>224</v>
      </c>
      <c r="B223" s="3">
        <v>418</v>
      </c>
      <c r="C223" s="3">
        <v>32</v>
      </c>
      <c r="D223" s="4">
        <f t="shared" si="18"/>
        <v>7.6555023923444973E-2</v>
      </c>
      <c r="E223" s="4">
        <f t="shared" si="19"/>
        <v>1.9364970576938421</v>
      </c>
      <c r="F223" s="4">
        <f t="shared" si="20"/>
        <v>5.4746754314778559E-2</v>
      </c>
      <c r="G223" s="4">
        <f t="shared" si="21"/>
        <v>0.10607569657674087</v>
      </c>
      <c r="H223" s="4">
        <f t="shared" si="22"/>
        <v>1.4527734364439744</v>
      </c>
      <c r="I223" s="3">
        <f t="shared" si="23"/>
        <v>2.4070222474213616</v>
      </c>
    </row>
    <row r="224" spans="1:9" x14ac:dyDescent="0.25">
      <c r="A224" s="3" t="s">
        <v>225</v>
      </c>
      <c r="B224" s="3">
        <v>75</v>
      </c>
      <c r="C224" s="3">
        <v>8</v>
      </c>
      <c r="D224" s="4">
        <f t="shared" si="18"/>
        <v>0.10666666666666667</v>
      </c>
      <c r="E224" s="4">
        <f t="shared" si="19"/>
        <v>2.4150374992788439</v>
      </c>
      <c r="F224" s="4">
        <f t="shared" si="20"/>
        <v>5.5048469638561637E-2</v>
      </c>
      <c r="G224" s="4">
        <f t="shared" si="21"/>
        <v>0.19661562647313574</v>
      </c>
      <c r="H224" s="4">
        <f t="shared" si="22"/>
        <v>1.4607024570585465</v>
      </c>
      <c r="I224" s="3">
        <f t="shared" si="23"/>
        <v>3.2973060825851781</v>
      </c>
    </row>
    <row r="225" spans="1:9" x14ac:dyDescent="0.25">
      <c r="A225" s="3" t="s">
        <v>226</v>
      </c>
      <c r="B225" s="3">
        <v>19</v>
      </c>
      <c r="C225" s="3">
        <v>1</v>
      </c>
      <c r="D225" s="4">
        <f t="shared" si="18"/>
        <v>5.2631578947368418E-2</v>
      </c>
      <c r="E225" s="4">
        <f t="shared" si="19"/>
        <v>1.3959286763311392</v>
      </c>
      <c r="F225" s="4">
        <f t="shared" si="20"/>
        <v>9.3517524905299496E-3</v>
      </c>
      <c r="G225" s="4">
        <f t="shared" si="21"/>
        <v>0.24639215336545212</v>
      </c>
      <c r="H225" s="4">
        <f t="shared" si="22"/>
        <v>-1.0966913478033296</v>
      </c>
      <c r="I225" s="3">
        <f t="shared" si="23"/>
        <v>3.6228844074096171</v>
      </c>
    </row>
    <row r="226" spans="1:9" x14ac:dyDescent="0.25">
      <c r="A226" s="3" t="s">
        <v>227</v>
      </c>
      <c r="B226" s="3">
        <v>41</v>
      </c>
      <c r="C226" s="3">
        <v>5</v>
      </c>
      <c r="D226" s="4">
        <f t="shared" si="18"/>
        <v>0.12195121951219512</v>
      </c>
      <c r="E226" s="4">
        <f t="shared" si="19"/>
        <v>2.6082322800440036</v>
      </c>
      <c r="F226" s="4">
        <f t="shared" si="20"/>
        <v>5.3232579973408231E-2</v>
      </c>
      <c r="G226" s="4">
        <f t="shared" si="21"/>
        <v>0.25544507648844861</v>
      </c>
      <c r="H226" s="4">
        <f t="shared" si="22"/>
        <v>1.4123094897021009</v>
      </c>
      <c r="I226" s="3">
        <f t="shared" si="23"/>
        <v>3.6749412240320898</v>
      </c>
    </row>
    <row r="227" spans="1:9" x14ac:dyDescent="0.25">
      <c r="A227" s="3" t="s">
        <v>228</v>
      </c>
      <c r="B227" s="3">
        <v>3035</v>
      </c>
      <c r="C227" s="3">
        <v>398</v>
      </c>
      <c r="D227" s="4">
        <f t="shared" si="18"/>
        <v>0.13113673805601317</v>
      </c>
      <c r="E227" s="4">
        <f t="shared" si="19"/>
        <v>2.713000009175329</v>
      </c>
      <c r="F227" s="4">
        <f t="shared" si="20"/>
        <v>0.11959236504117664</v>
      </c>
      <c r="G227" s="4">
        <f t="shared" si="21"/>
        <v>0.14361371980378532</v>
      </c>
      <c r="H227" s="4">
        <f t="shared" si="22"/>
        <v>2.5800533835134396</v>
      </c>
      <c r="I227" s="3">
        <f t="shared" si="23"/>
        <v>2.8441216751582865</v>
      </c>
    </row>
    <row r="228" spans="1:9" x14ac:dyDescent="0.25">
      <c r="A228" s="3" t="s">
        <v>229</v>
      </c>
      <c r="B228" s="3">
        <v>59</v>
      </c>
      <c r="C228" s="3">
        <v>4</v>
      </c>
      <c r="D228" s="4">
        <f t="shared" si="18"/>
        <v>6.7796610169491525E-2</v>
      </c>
      <c r="E228" s="4">
        <f t="shared" si="19"/>
        <v>1.7612131404128835</v>
      </c>
      <c r="F228" s="4">
        <f t="shared" si="20"/>
        <v>2.6678187098391572E-2</v>
      </c>
      <c r="G228" s="4">
        <f t="shared" si="21"/>
        <v>0.16175749881667104</v>
      </c>
      <c r="H228" s="4">
        <f t="shared" si="22"/>
        <v>0.41566063230119726</v>
      </c>
      <c r="I228" s="3">
        <f t="shared" si="23"/>
        <v>3.0157606896699414</v>
      </c>
    </row>
    <row r="229" spans="1:9" x14ac:dyDescent="0.25">
      <c r="A229" s="3" t="s">
        <v>230</v>
      </c>
      <c r="B229" s="3">
        <v>63</v>
      </c>
      <c r="C229" s="3">
        <v>15</v>
      </c>
      <c r="D229" s="4">
        <f t="shared" si="18"/>
        <v>0.23809523809523808</v>
      </c>
      <c r="E229" s="4">
        <f t="shared" si="19"/>
        <v>3.5734668618833267</v>
      </c>
      <c r="F229" s="4">
        <f t="shared" si="20"/>
        <v>0.14993653261946965</v>
      </c>
      <c r="G229" s="4">
        <f t="shared" si="21"/>
        <v>0.35635894803928181</v>
      </c>
      <c r="H229" s="4">
        <f t="shared" si="22"/>
        <v>2.9062800392637063</v>
      </c>
      <c r="I229" s="3">
        <f t="shared" si="23"/>
        <v>4.1552592452394723</v>
      </c>
    </row>
    <row r="230" spans="1:9" x14ac:dyDescent="0.25">
      <c r="A230" s="3" t="s">
        <v>231</v>
      </c>
      <c r="B230" s="3">
        <v>357</v>
      </c>
      <c r="C230" s="3">
        <v>23</v>
      </c>
      <c r="D230" s="4">
        <f t="shared" si="18"/>
        <v>6.4425770308123242E-2</v>
      </c>
      <c r="E230" s="4">
        <f t="shared" si="19"/>
        <v>1.6876378818026376</v>
      </c>
      <c r="F230" s="4">
        <f t="shared" si="20"/>
        <v>4.3310207335610043E-2</v>
      </c>
      <c r="G230" s="4">
        <f t="shared" si="21"/>
        <v>9.4815773704270051E-2</v>
      </c>
      <c r="H230" s="4">
        <f t="shared" si="22"/>
        <v>1.1147070789245399</v>
      </c>
      <c r="I230" s="3">
        <f t="shared" si="23"/>
        <v>2.2451270881520777</v>
      </c>
    </row>
    <row r="231" spans="1:9" x14ac:dyDescent="0.25">
      <c r="A231" s="3" t="s">
        <v>232</v>
      </c>
      <c r="B231" s="3">
        <v>1714</v>
      </c>
      <c r="C231" s="3">
        <v>186</v>
      </c>
      <c r="D231" s="4">
        <f t="shared" si="18"/>
        <v>0.10851808634772463</v>
      </c>
      <c r="E231" s="4">
        <f t="shared" si="19"/>
        <v>2.4398636067702566</v>
      </c>
      <c r="F231" s="4">
        <f t="shared" si="20"/>
        <v>9.4658906789234123E-2</v>
      </c>
      <c r="G231" s="4">
        <f t="shared" si="21"/>
        <v>0.1241282037336453</v>
      </c>
      <c r="H231" s="4">
        <f t="shared" si="22"/>
        <v>2.2427382605628825</v>
      </c>
      <c r="I231" s="3">
        <f t="shared" si="23"/>
        <v>2.6337590489028053</v>
      </c>
    </row>
    <row r="232" spans="1:9" x14ac:dyDescent="0.25">
      <c r="A232" s="3" t="s">
        <v>233</v>
      </c>
      <c r="B232" s="3">
        <v>134</v>
      </c>
      <c r="C232" s="3">
        <v>9</v>
      </c>
      <c r="D232" s="4">
        <f t="shared" si="18"/>
        <v>6.7164179104477612E-2</v>
      </c>
      <c r="E232" s="4">
        <f t="shared" si="19"/>
        <v>1.7476920007592645</v>
      </c>
      <c r="F232" s="4">
        <f t="shared" si="20"/>
        <v>3.5734200323224739E-2</v>
      </c>
      <c r="G232" s="4">
        <f t="shared" si="21"/>
        <v>0.12272014147199529</v>
      </c>
      <c r="H232" s="4">
        <f t="shared" si="22"/>
        <v>0.8373055033250385</v>
      </c>
      <c r="I232" s="3">
        <f t="shared" si="23"/>
        <v>2.6173001459831902</v>
      </c>
    </row>
    <row r="233" spans="1:9" x14ac:dyDescent="0.25">
      <c r="A233" s="3" t="s">
        <v>234</v>
      </c>
      <c r="B233" s="3">
        <v>26</v>
      </c>
      <c r="C233" s="3">
        <v>6</v>
      </c>
      <c r="D233" s="4">
        <f t="shared" si="18"/>
        <v>0.23076923076923078</v>
      </c>
      <c r="E233" s="4">
        <f t="shared" si="19"/>
        <v>3.5283789723547887</v>
      </c>
      <c r="F233" s="4">
        <f t="shared" si="20"/>
        <v>0.11033699683676688</v>
      </c>
      <c r="G233" s="4">
        <f t="shared" si="21"/>
        <v>0.42051925751956787</v>
      </c>
      <c r="H233" s="4">
        <f t="shared" si="22"/>
        <v>2.4638447135898569</v>
      </c>
      <c r="I233" s="3">
        <f t="shared" si="23"/>
        <v>4.3940999645516605</v>
      </c>
    </row>
    <row r="234" spans="1:9" x14ac:dyDescent="0.25">
      <c r="A234" s="3" t="s">
        <v>235</v>
      </c>
      <c r="B234" s="3">
        <v>43</v>
      </c>
      <c r="C234" s="3">
        <v>5</v>
      </c>
      <c r="D234" s="4">
        <f t="shared" si="18"/>
        <v>0.11627906976744186</v>
      </c>
      <c r="E234" s="4">
        <f t="shared" si="19"/>
        <v>2.5395195299599891</v>
      </c>
      <c r="F234" s="4">
        <f t="shared" si="20"/>
        <v>5.0703529948620846E-2</v>
      </c>
      <c r="G234" s="4">
        <f t="shared" si="21"/>
        <v>0.24479448890641395</v>
      </c>
      <c r="H234" s="4">
        <f t="shared" si="22"/>
        <v>1.3420861902679171</v>
      </c>
      <c r="I234" s="3">
        <f t="shared" si="23"/>
        <v>3.6134991736822863</v>
      </c>
    </row>
    <row r="235" spans="1:9" x14ac:dyDescent="0.25">
      <c r="A235" s="3" t="s">
        <v>236</v>
      </c>
      <c r="B235" s="3">
        <v>309</v>
      </c>
      <c r="C235" s="3">
        <v>33</v>
      </c>
      <c r="D235" s="4">
        <f t="shared" si="18"/>
        <v>0.10679611650485436</v>
      </c>
      <c r="E235" s="4">
        <f t="shared" si="19"/>
        <v>2.4167872812288036</v>
      </c>
      <c r="F235" s="4">
        <f t="shared" si="20"/>
        <v>7.7060359638936538E-2</v>
      </c>
      <c r="G235" s="4">
        <f t="shared" si="21"/>
        <v>0.14618872232458752</v>
      </c>
      <c r="H235" s="4">
        <f t="shared" si="22"/>
        <v>1.9459889190379449</v>
      </c>
      <c r="I235" s="3">
        <f t="shared" si="23"/>
        <v>2.8697601142901936</v>
      </c>
    </row>
    <row r="236" spans="1:9" x14ac:dyDescent="0.25">
      <c r="A236" s="3" t="s">
        <v>237</v>
      </c>
      <c r="B236" s="3">
        <v>101</v>
      </c>
      <c r="C236" s="3">
        <v>16</v>
      </c>
      <c r="D236" s="4">
        <f t="shared" si="18"/>
        <v>0.15841584158415842</v>
      </c>
      <c r="E236" s="4">
        <f t="shared" si="19"/>
        <v>2.9856447070229302</v>
      </c>
      <c r="F236" s="4">
        <f t="shared" si="20"/>
        <v>9.9926716124561304E-2</v>
      </c>
      <c r="G236" s="4">
        <f t="shared" si="21"/>
        <v>0.24193758201663454</v>
      </c>
      <c r="H236" s="4">
        <f t="shared" si="22"/>
        <v>2.3208704444596742</v>
      </c>
      <c r="I236" s="3">
        <f t="shared" si="23"/>
        <v>3.5965629864774238</v>
      </c>
    </row>
    <row r="237" spans="1:9" x14ac:dyDescent="0.25">
      <c r="A237" s="3" t="s">
        <v>238</v>
      </c>
      <c r="B237" s="3">
        <v>77</v>
      </c>
      <c r="C237" s="3">
        <v>7</v>
      </c>
      <c r="D237" s="4">
        <f t="shared" si="18"/>
        <v>9.0909090909090912E-2</v>
      </c>
      <c r="E237" s="4">
        <f t="shared" si="19"/>
        <v>2.1844245711374275</v>
      </c>
      <c r="F237" s="4">
        <f t="shared" si="20"/>
        <v>4.4735141893571646E-2</v>
      </c>
      <c r="G237" s="4">
        <f t="shared" si="21"/>
        <v>0.17596311247051816</v>
      </c>
      <c r="H237" s="4">
        <f t="shared" si="22"/>
        <v>1.1614085924139219</v>
      </c>
      <c r="I237" s="3">
        <f t="shared" si="23"/>
        <v>3.1372011201504475</v>
      </c>
    </row>
    <row r="238" spans="1:9" x14ac:dyDescent="0.25">
      <c r="A238" s="3" t="s">
        <v>239</v>
      </c>
      <c r="B238" s="3">
        <v>102</v>
      </c>
      <c r="C238" s="3">
        <v>14</v>
      </c>
      <c r="D238" s="4">
        <f t="shared" si="18"/>
        <v>0.13725490196078433</v>
      </c>
      <c r="E238" s="4">
        <f t="shared" si="19"/>
        <v>2.7787857698608334</v>
      </c>
      <c r="F238" s="4">
        <f t="shared" si="20"/>
        <v>8.3552902475903412E-2</v>
      </c>
      <c r="G238" s="4">
        <f t="shared" si="21"/>
        <v>0.21728911049442212</v>
      </c>
      <c r="H238" s="4">
        <f t="shared" si="22"/>
        <v>2.0626899457593564</v>
      </c>
      <c r="I238" s="3">
        <f t="shared" si="23"/>
        <v>3.441543970145859</v>
      </c>
    </row>
    <row r="239" spans="1:9" x14ac:dyDescent="0.25">
      <c r="A239" s="3" t="s">
        <v>240</v>
      </c>
      <c r="B239" s="3">
        <v>1026</v>
      </c>
      <c r="C239" s="3">
        <v>89</v>
      </c>
      <c r="D239" s="4">
        <f t="shared" si="18"/>
        <v>8.6744639376218319E-2</v>
      </c>
      <c r="E239" s="4">
        <f t="shared" si="19"/>
        <v>2.1167746051340686</v>
      </c>
      <c r="F239" s="4">
        <f t="shared" si="20"/>
        <v>7.1026725738208576E-2</v>
      </c>
      <c r="G239" s="4">
        <f t="shared" si="21"/>
        <v>0.10554567141490702</v>
      </c>
      <c r="H239" s="4">
        <f t="shared" si="22"/>
        <v>1.8283619800397208</v>
      </c>
      <c r="I239" s="3">
        <f t="shared" si="23"/>
        <v>2.3997955077145368</v>
      </c>
    </row>
    <row r="240" spans="1:9" x14ac:dyDescent="0.25">
      <c r="A240" s="3" t="s">
        <v>241</v>
      </c>
      <c r="B240" s="3">
        <v>271</v>
      </c>
      <c r="C240" s="3">
        <v>31</v>
      </c>
      <c r="D240" s="4">
        <f t="shared" si="18"/>
        <v>0.11439114391143912</v>
      </c>
      <c r="E240" s="4">
        <f t="shared" si="19"/>
        <v>2.5159034588077285</v>
      </c>
      <c r="F240" s="4">
        <f t="shared" si="20"/>
        <v>8.1767140991831549E-2</v>
      </c>
      <c r="G240" s="4">
        <f t="shared" si="21"/>
        <v>0.15779484671308652</v>
      </c>
      <c r="H240" s="4">
        <f t="shared" si="22"/>
        <v>2.0315211970537108</v>
      </c>
      <c r="I240" s="3">
        <f t="shared" si="23"/>
        <v>2.9799781852648839</v>
      </c>
    </row>
    <row r="241" spans="1:9" x14ac:dyDescent="0.25">
      <c r="A241" s="3" t="s">
        <v>242</v>
      </c>
      <c r="B241" s="3">
        <v>9</v>
      </c>
      <c r="C241" s="3">
        <v>1</v>
      </c>
      <c r="D241" s="4">
        <f t="shared" si="18"/>
        <v>0.1111111111111111</v>
      </c>
      <c r="E241" s="4">
        <f t="shared" si="19"/>
        <v>2.4739311883324122</v>
      </c>
      <c r="F241" s="4">
        <f t="shared" si="20"/>
        <v>1.9890371327130518E-2</v>
      </c>
      <c r="G241" s="4">
        <f t="shared" si="21"/>
        <v>0.43500621476806017</v>
      </c>
      <c r="H241" s="4">
        <f t="shared" si="22"/>
        <v>-7.9297903537731348E-3</v>
      </c>
      <c r="I241" s="3">
        <f t="shared" si="23"/>
        <v>4.4429641072303685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VOYANT</dc:creator>
  <cp:lastModifiedBy>Cyril VOYANT</cp:lastModifiedBy>
  <dcterms:created xsi:type="dcterms:W3CDTF">2015-06-05T18:17:20Z</dcterms:created>
  <dcterms:modified xsi:type="dcterms:W3CDTF">2025-12-19T08:04:13Z</dcterms:modified>
</cp:coreProperties>
</file>